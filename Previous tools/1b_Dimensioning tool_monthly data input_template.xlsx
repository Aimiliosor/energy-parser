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watt4ever-my.sharepoint.com/personal/a_orfanos_watt4ever_be/Documents/Documents/"/>
    </mc:Choice>
  </mc:AlternateContent>
  <xr:revisionPtr revIDLastSave="0" documentId="8_{0D443690-DE11-48B8-AB6F-27A33898AF28}" xr6:coauthVersionLast="47" xr6:coauthVersionMax="47" xr10:uidLastSave="{00000000-0000-0000-0000-000000000000}"/>
  <bookViews>
    <workbookView xWindow="-110" yWindow="-110" windowWidth="19420" windowHeight="11500" activeTab="3" xr2:uid="{80D44329-563C-4509-BCD8-05453284F2B6}"/>
  </bookViews>
  <sheets>
    <sheet name="1-Data Input" sheetId="2" r:id="rId1"/>
    <sheet name="2-Consumption profiles" sheetId="3" r:id="rId2"/>
    <sheet name="3-Production profile" sheetId="4" r:id="rId3"/>
    <sheet name="4-Battery needs" sheetId="1" r:id="rId4"/>
    <sheet name="READM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11" i="3" l="1"/>
  <c r="AB10" i="3"/>
  <c r="AB9" i="3"/>
  <c r="P3" i="1" l="1"/>
  <c r="P4" i="1"/>
  <c r="AB8" i="4"/>
  <c r="AB7" i="4"/>
  <c r="AB6" i="4"/>
  <c r="AB5" i="4"/>
  <c r="AB4" i="4"/>
  <c r="AB3" i="4"/>
  <c r="AB8" i="3"/>
  <c r="AB7" i="3"/>
  <c r="AB6" i="3"/>
  <c r="AB5" i="3"/>
  <c r="AB4" i="3"/>
  <c r="AB3" i="3"/>
  <c r="E2" i="2"/>
  <c r="E3" i="2"/>
  <c r="E4" i="2"/>
  <c r="E5" i="2"/>
  <c r="E6" i="2"/>
  <c r="E7" i="2"/>
  <c r="E8" i="2"/>
  <c r="E9" i="2"/>
  <c r="E10" i="2"/>
  <c r="E11" i="2"/>
  <c r="E12" i="2"/>
  <c r="E13" i="2"/>
  <c r="D12" i="2"/>
  <c r="Y8" i="3" s="1"/>
  <c r="D10" i="2"/>
  <c r="W27" i="3" s="1"/>
  <c r="D8" i="2"/>
  <c r="D7" i="2"/>
  <c r="T27" i="3" s="1"/>
  <c r="D6" i="2"/>
  <c r="S27" i="3" s="1"/>
  <c r="D5" i="2"/>
  <c r="R22" i="3" s="1"/>
  <c r="D3" i="2"/>
  <c r="D4" i="2"/>
  <c r="Q8" i="3" s="1"/>
  <c r="D9" i="2"/>
  <c r="V20" i="3" s="1"/>
  <c r="D11" i="2"/>
  <c r="X20" i="3" s="1"/>
  <c r="D13" i="2"/>
  <c r="Z26" i="3" s="1"/>
  <c r="D2" i="2"/>
  <c r="O9" i="3" s="1"/>
  <c r="T25" i="3" l="1"/>
  <c r="T20" i="3"/>
  <c r="T4" i="3"/>
  <c r="Q18" i="3"/>
  <c r="O27" i="3"/>
  <c r="R23" i="3"/>
  <c r="T24" i="3"/>
  <c r="X25" i="3"/>
  <c r="X21" i="3"/>
  <c r="X4" i="3"/>
  <c r="X26" i="3"/>
  <c r="R24" i="3"/>
  <c r="X22" i="3"/>
  <c r="T21" i="3"/>
  <c r="R20" i="3"/>
  <c r="T26" i="3"/>
  <c r="R25" i="3"/>
  <c r="X23" i="3"/>
  <c r="T22" i="3"/>
  <c r="R21" i="3"/>
  <c r="X19" i="3"/>
  <c r="R4" i="3"/>
  <c r="Q27" i="3"/>
  <c r="R26" i="3"/>
  <c r="X24" i="3"/>
  <c r="T23" i="3"/>
  <c r="Q19" i="3"/>
  <c r="P216" i="3"/>
  <c r="P215" i="3"/>
  <c r="P214" i="3"/>
  <c r="P213" i="3"/>
  <c r="P212" i="3"/>
  <c r="P211" i="3"/>
  <c r="P210" i="3"/>
  <c r="P209" i="3"/>
  <c r="P208" i="3"/>
  <c r="P207" i="3"/>
  <c r="P206" i="3"/>
  <c r="P205" i="3"/>
  <c r="P204" i="3"/>
  <c r="P203" i="3"/>
  <c r="P202" i="3"/>
  <c r="P201" i="3"/>
  <c r="P200" i="3"/>
  <c r="P199" i="3"/>
  <c r="P198" i="3"/>
  <c r="P197" i="3"/>
  <c r="P196" i="3"/>
  <c r="P195" i="3"/>
  <c r="P194" i="3"/>
  <c r="P193" i="3"/>
  <c r="P189" i="3"/>
  <c r="P188" i="3"/>
  <c r="P187" i="3"/>
  <c r="P186" i="3"/>
  <c r="P185" i="3"/>
  <c r="P184" i="3"/>
  <c r="P183" i="3"/>
  <c r="P182" i="3"/>
  <c r="P181" i="3"/>
  <c r="P180" i="3"/>
  <c r="P179" i="3"/>
  <c r="P178" i="3"/>
  <c r="P177" i="3"/>
  <c r="P176" i="3"/>
  <c r="P175" i="3"/>
  <c r="P174" i="3"/>
  <c r="P173" i="3"/>
  <c r="P172" i="3"/>
  <c r="P167" i="3"/>
  <c r="P166" i="3"/>
  <c r="P171" i="3"/>
  <c r="P170" i="3"/>
  <c r="P169" i="3"/>
  <c r="P168" i="3"/>
  <c r="P135" i="4"/>
  <c r="P134" i="4"/>
  <c r="P133" i="4"/>
  <c r="P132" i="4"/>
  <c r="P131" i="4"/>
  <c r="P130" i="4"/>
  <c r="P129" i="4"/>
  <c r="P128" i="4"/>
  <c r="P127" i="4"/>
  <c r="P126" i="4"/>
  <c r="P125" i="4"/>
  <c r="P124" i="4"/>
  <c r="P123" i="4"/>
  <c r="P122" i="4"/>
  <c r="P121" i="4"/>
  <c r="P120" i="4"/>
  <c r="P119" i="4"/>
  <c r="P118" i="4"/>
  <c r="P117" i="4"/>
  <c r="P116" i="4"/>
  <c r="P115" i="4"/>
  <c r="P114" i="4"/>
  <c r="P113" i="4"/>
  <c r="P112" i="4"/>
  <c r="P162" i="3"/>
  <c r="P160" i="3"/>
  <c r="P158" i="3"/>
  <c r="P156" i="3"/>
  <c r="P108" i="4"/>
  <c r="P107" i="4"/>
  <c r="P106" i="4"/>
  <c r="P105" i="4"/>
  <c r="P104" i="4"/>
  <c r="P103" i="4"/>
  <c r="P102" i="4"/>
  <c r="P101" i="4"/>
  <c r="P100" i="4"/>
  <c r="P99" i="4"/>
  <c r="P98" i="4"/>
  <c r="P97" i="4"/>
  <c r="P96" i="4"/>
  <c r="P95" i="4"/>
  <c r="P94" i="4"/>
  <c r="P93" i="4"/>
  <c r="P92" i="4"/>
  <c r="P91" i="4"/>
  <c r="P90" i="4"/>
  <c r="P89" i="4"/>
  <c r="P88" i="4"/>
  <c r="P87" i="4"/>
  <c r="P86" i="4"/>
  <c r="P85" i="4"/>
  <c r="P161" i="3"/>
  <c r="P159" i="3"/>
  <c r="P157" i="3"/>
  <c r="P155" i="3"/>
  <c r="P154" i="3"/>
  <c r="P153" i="3"/>
  <c r="P152" i="3"/>
  <c r="P151" i="3"/>
  <c r="P150" i="3"/>
  <c r="P149" i="3"/>
  <c r="P148" i="3"/>
  <c r="P147" i="3"/>
  <c r="P146" i="3"/>
  <c r="P145" i="3"/>
  <c r="P144" i="3"/>
  <c r="P143" i="3"/>
  <c r="P142" i="3"/>
  <c r="P141" i="3"/>
  <c r="P140" i="3"/>
  <c r="P139" i="3"/>
  <c r="P135" i="3"/>
  <c r="P134" i="3"/>
  <c r="P133" i="3"/>
  <c r="P132" i="3"/>
  <c r="P131" i="3"/>
  <c r="P130" i="3"/>
  <c r="P129" i="3"/>
  <c r="P128" i="3"/>
  <c r="P127" i="3"/>
  <c r="P126" i="3"/>
  <c r="P125" i="3"/>
  <c r="P124" i="3"/>
  <c r="P123" i="3"/>
  <c r="P122" i="3"/>
  <c r="P121" i="3"/>
  <c r="P120" i="3"/>
  <c r="P119" i="3"/>
  <c r="P118" i="3"/>
  <c r="P117" i="3"/>
  <c r="P116" i="3"/>
  <c r="P115" i="3"/>
  <c r="P114" i="3"/>
  <c r="P113" i="3"/>
  <c r="P112" i="3"/>
  <c r="P70" i="3"/>
  <c r="P69" i="3"/>
  <c r="P68" i="3"/>
  <c r="P67" i="3"/>
  <c r="P66" i="3"/>
  <c r="P65" i="3"/>
  <c r="P64" i="3"/>
  <c r="P63" i="3"/>
  <c r="P62" i="3"/>
  <c r="P61" i="3"/>
  <c r="P60" i="3"/>
  <c r="P59" i="3"/>
  <c r="P58" i="3"/>
  <c r="P108" i="3"/>
  <c r="P106" i="3"/>
  <c r="P104" i="3"/>
  <c r="P102" i="3"/>
  <c r="P80" i="3"/>
  <c r="P79" i="3"/>
  <c r="P78" i="3"/>
  <c r="P77" i="3"/>
  <c r="P76" i="3"/>
  <c r="P75" i="3"/>
  <c r="P74" i="3"/>
  <c r="P73" i="3"/>
  <c r="P72" i="3"/>
  <c r="P71" i="3"/>
  <c r="P100" i="3"/>
  <c r="P99" i="3"/>
  <c r="P98" i="3"/>
  <c r="P97" i="3"/>
  <c r="P96" i="3"/>
  <c r="P95" i="3"/>
  <c r="P94" i="3"/>
  <c r="P93" i="3"/>
  <c r="P92" i="3"/>
  <c r="P91" i="3"/>
  <c r="P90" i="3"/>
  <c r="P89" i="3"/>
  <c r="P88" i="3"/>
  <c r="P87" i="3"/>
  <c r="P86" i="3"/>
  <c r="P85" i="3"/>
  <c r="P81" i="3"/>
  <c r="P107" i="3"/>
  <c r="P105" i="3"/>
  <c r="P103" i="3"/>
  <c r="P101" i="3"/>
  <c r="P54" i="4"/>
  <c r="P53" i="4"/>
  <c r="P52" i="4"/>
  <c r="P51" i="4"/>
  <c r="P50" i="4"/>
  <c r="P49" i="4"/>
  <c r="P48" i="4"/>
  <c r="P47" i="4"/>
  <c r="P46" i="4"/>
  <c r="P45" i="4"/>
  <c r="P44" i="4"/>
  <c r="P43" i="4"/>
  <c r="P42" i="4"/>
  <c r="P41" i="4"/>
  <c r="P40" i="4"/>
  <c r="P39" i="4"/>
  <c r="P38" i="4"/>
  <c r="P37" i="4"/>
  <c r="P36" i="4"/>
  <c r="P35" i="4"/>
  <c r="P34" i="4"/>
  <c r="P33" i="4"/>
  <c r="P32" i="4"/>
  <c r="P31" i="4"/>
  <c r="P54" i="3"/>
  <c r="P53" i="3"/>
  <c r="P52" i="3"/>
  <c r="P51" i="3"/>
  <c r="P50" i="3"/>
  <c r="P49" i="3"/>
  <c r="P48" i="3"/>
  <c r="P47" i="3"/>
  <c r="P46" i="3"/>
  <c r="P45" i="3"/>
  <c r="P44" i="3"/>
  <c r="P43" i="3"/>
  <c r="P42" i="3"/>
  <c r="P41" i="3"/>
  <c r="P40" i="3"/>
  <c r="P39" i="3"/>
  <c r="P38" i="3"/>
  <c r="P37" i="3"/>
  <c r="P36" i="3"/>
  <c r="P35" i="3"/>
  <c r="P34" i="3"/>
  <c r="P33" i="3"/>
  <c r="P32" i="3"/>
  <c r="P31" i="3"/>
  <c r="P5" i="3"/>
  <c r="P6" i="3"/>
  <c r="P7" i="3"/>
  <c r="P8" i="3"/>
  <c r="P9" i="3"/>
  <c r="P10" i="3"/>
  <c r="P11" i="3"/>
  <c r="P12" i="3"/>
  <c r="P13" i="3"/>
  <c r="P14" i="3"/>
  <c r="P15" i="3"/>
  <c r="P16" i="3"/>
  <c r="P17" i="3"/>
  <c r="P18" i="3"/>
  <c r="P19" i="3"/>
  <c r="U216" i="3"/>
  <c r="U215" i="3"/>
  <c r="U214" i="3"/>
  <c r="U213" i="3"/>
  <c r="U212" i="3"/>
  <c r="U211" i="3"/>
  <c r="U210" i="3"/>
  <c r="U209" i="3"/>
  <c r="U208" i="3"/>
  <c r="U207" i="3"/>
  <c r="U206" i="3"/>
  <c r="U205" i="3"/>
  <c r="U204" i="3"/>
  <c r="U203" i="3"/>
  <c r="U202" i="3"/>
  <c r="U201" i="3"/>
  <c r="U200" i="3"/>
  <c r="U199" i="3"/>
  <c r="U198" i="3"/>
  <c r="U197" i="3"/>
  <c r="U196" i="3"/>
  <c r="U195" i="3"/>
  <c r="U194" i="3"/>
  <c r="U193" i="3"/>
  <c r="U189" i="3"/>
  <c r="U188" i="3"/>
  <c r="U187" i="3"/>
  <c r="U186" i="3"/>
  <c r="U183" i="3"/>
  <c r="U179" i="3"/>
  <c r="U175" i="3"/>
  <c r="U170" i="3"/>
  <c r="U169" i="3"/>
  <c r="U168" i="3"/>
  <c r="U167" i="3"/>
  <c r="U166" i="3"/>
  <c r="U184" i="3"/>
  <c r="U180" i="3"/>
  <c r="U176" i="3"/>
  <c r="U171" i="3"/>
  <c r="U182" i="3"/>
  <c r="U178" i="3"/>
  <c r="U174" i="3"/>
  <c r="U172" i="3"/>
  <c r="U185" i="3"/>
  <c r="U181" i="3"/>
  <c r="U177" i="3"/>
  <c r="U173" i="3"/>
  <c r="U135" i="4"/>
  <c r="U134" i="4"/>
  <c r="U133" i="4"/>
  <c r="U132" i="4"/>
  <c r="U131" i="4"/>
  <c r="U130" i="4"/>
  <c r="U129" i="4"/>
  <c r="U128" i="4"/>
  <c r="U127" i="4"/>
  <c r="U126" i="4"/>
  <c r="U125" i="4"/>
  <c r="U124" i="4"/>
  <c r="U123" i="4"/>
  <c r="U122" i="4"/>
  <c r="U121" i="4"/>
  <c r="U120" i="4"/>
  <c r="U119" i="4"/>
  <c r="U118" i="4"/>
  <c r="U117" i="4"/>
  <c r="U116" i="4"/>
  <c r="U115" i="4"/>
  <c r="U114" i="4"/>
  <c r="U113" i="4"/>
  <c r="U112" i="4"/>
  <c r="U162" i="3"/>
  <c r="U161" i="3"/>
  <c r="U160" i="3"/>
  <c r="U159" i="3"/>
  <c r="U158" i="3"/>
  <c r="U157" i="3"/>
  <c r="U156" i="3"/>
  <c r="U155" i="3"/>
  <c r="U154" i="3"/>
  <c r="U108" i="4"/>
  <c r="U107" i="4"/>
  <c r="U106" i="4"/>
  <c r="U105" i="4"/>
  <c r="U104" i="4"/>
  <c r="U103" i="4"/>
  <c r="U102" i="4"/>
  <c r="U101" i="4"/>
  <c r="U100" i="4"/>
  <c r="U99" i="4"/>
  <c r="U98" i="4"/>
  <c r="U97" i="4"/>
  <c r="U96" i="4"/>
  <c r="U95" i="4"/>
  <c r="U153" i="3"/>
  <c r="U152" i="3"/>
  <c r="U151" i="3"/>
  <c r="U150" i="3"/>
  <c r="U149" i="3"/>
  <c r="U148" i="3"/>
  <c r="U147" i="3"/>
  <c r="U146" i="3"/>
  <c r="U145" i="3"/>
  <c r="U144" i="3"/>
  <c r="U143" i="3"/>
  <c r="U142" i="3"/>
  <c r="U141" i="3"/>
  <c r="U140" i="3"/>
  <c r="U139" i="3"/>
  <c r="U94" i="4"/>
  <c r="U92" i="4"/>
  <c r="U90" i="4"/>
  <c r="U88" i="4"/>
  <c r="U86" i="4"/>
  <c r="U108" i="3"/>
  <c r="U107" i="3"/>
  <c r="U106" i="3"/>
  <c r="U105" i="3"/>
  <c r="U104" i="3"/>
  <c r="U103" i="3"/>
  <c r="U102" i="3"/>
  <c r="U101" i="3"/>
  <c r="U100" i="3"/>
  <c r="U93" i="4"/>
  <c r="U91" i="4"/>
  <c r="U89" i="4"/>
  <c r="U87" i="4"/>
  <c r="U85" i="4"/>
  <c r="U135" i="3"/>
  <c r="U134" i="3"/>
  <c r="U133" i="3"/>
  <c r="U132" i="3"/>
  <c r="U131" i="3"/>
  <c r="U130" i="3"/>
  <c r="U129" i="3"/>
  <c r="U128" i="3"/>
  <c r="U127" i="3"/>
  <c r="U126" i="3"/>
  <c r="U125" i="3"/>
  <c r="U124" i="3"/>
  <c r="U123" i="3"/>
  <c r="U122" i="3"/>
  <c r="U121" i="3"/>
  <c r="U120" i="3"/>
  <c r="U119" i="3"/>
  <c r="U118" i="3"/>
  <c r="U117" i="3"/>
  <c r="U116" i="3"/>
  <c r="U115" i="3"/>
  <c r="U114" i="3"/>
  <c r="U80" i="3"/>
  <c r="U79" i="3"/>
  <c r="U78" i="3"/>
  <c r="U77" i="3"/>
  <c r="U76" i="3"/>
  <c r="U75" i="3"/>
  <c r="U74" i="3"/>
  <c r="U73" i="3"/>
  <c r="U72" i="3"/>
  <c r="U71" i="3"/>
  <c r="U70" i="3"/>
  <c r="U112" i="3"/>
  <c r="U99" i="3"/>
  <c r="U98" i="3"/>
  <c r="U97" i="3"/>
  <c r="U96" i="3"/>
  <c r="U95" i="3"/>
  <c r="U94" i="3"/>
  <c r="U93" i="3"/>
  <c r="U92" i="3"/>
  <c r="U91" i="3"/>
  <c r="U90" i="3"/>
  <c r="U89" i="3"/>
  <c r="U88" i="3"/>
  <c r="U87" i="3"/>
  <c r="U86" i="3"/>
  <c r="U85" i="3"/>
  <c r="U81" i="3"/>
  <c r="U113" i="3"/>
  <c r="U69" i="3"/>
  <c r="U68" i="3"/>
  <c r="U67" i="3"/>
  <c r="U66" i="3"/>
  <c r="U65" i="3"/>
  <c r="U64" i="3"/>
  <c r="U63" i="3"/>
  <c r="U62" i="3"/>
  <c r="U61" i="3"/>
  <c r="U60" i="3"/>
  <c r="U59" i="3"/>
  <c r="U58" i="3"/>
  <c r="U5" i="3"/>
  <c r="U6" i="3"/>
  <c r="U7" i="3"/>
  <c r="U54" i="4"/>
  <c r="U53" i="4"/>
  <c r="U52" i="4"/>
  <c r="U51" i="4"/>
  <c r="U50" i="4"/>
  <c r="U49" i="4"/>
  <c r="U48" i="4"/>
  <c r="U47" i="4"/>
  <c r="U46" i="4"/>
  <c r="U45" i="4"/>
  <c r="U44" i="4"/>
  <c r="U43" i="4"/>
  <c r="U42" i="4"/>
  <c r="U41" i="4"/>
  <c r="U40" i="4"/>
  <c r="U39" i="4"/>
  <c r="U38" i="4"/>
  <c r="U37" i="4"/>
  <c r="U36" i="4"/>
  <c r="U35" i="4"/>
  <c r="U34" i="4"/>
  <c r="U33" i="4"/>
  <c r="U32" i="4"/>
  <c r="U31" i="4"/>
  <c r="U54" i="3"/>
  <c r="U53" i="3"/>
  <c r="U52" i="3"/>
  <c r="U51" i="3"/>
  <c r="U50" i="3"/>
  <c r="U49" i="3"/>
  <c r="U48" i="3"/>
  <c r="U47" i="3"/>
  <c r="U46" i="3"/>
  <c r="U45" i="3"/>
  <c r="U44" i="3"/>
  <c r="U43" i="3"/>
  <c r="U42" i="3"/>
  <c r="U41" i="3"/>
  <c r="U40" i="3"/>
  <c r="U39" i="3"/>
  <c r="U38" i="3"/>
  <c r="U37" i="3"/>
  <c r="U36" i="3"/>
  <c r="U35" i="3"/>
  <c r="U34" i="3"/>
  <c r="U33" i="3"/>
  <c r="U32" i="3"/>
  <c r="U31" i="3"/>
  <c r="Y80" i="4"/>
  <c r="Y162" i="4"/>
  <c r="Y161" i="4"/>
  <c r="Y160" i="4"/>
  <c r="Y159" i="4"/>
  <c r="Y158" i="4"/>
  <c r="Y157" i="4"/>
  <c r="Y156" i="4"/>
  <c r="Y155" i="4"/>
  <c r="Y154" i="4"/>
  <c r="Y153" i="4"/>
  <c r="Y152" i="4"/>
  <c r="Y151" i="4"/>
  <c r="Y150" i="4"/>
  <c r="Y149" i="4"/>
  <c r="Y148" i="4"/>
  <c r="Y147" i="4"/>
  <c r="Y146" i="4"/>
  <c r="Y145" i="4"/>
  <c r="Y144" i="4"/>
  <c r="Y143" i="4"/>
  <c r="Y142" i="4"/>
  <c r="Y141" i="4"/>
  <c r="Y140" i="4"/>
  <c r="Y139" i="4"/>
  <c r="Y79" i="4"/>
  <c r="Y78" i="4"/>
  <c r="Y77" i="4"/>
  <c r="Y76" i="4"/>
  <c r="Y75" i="4"/>
  <c r="Y74" i="4"/>
  <c r="Y73" i="4"/>
  <c r="Y72" i="4"/>
  <c r="Y81" i="4"/>
  <c r="Y71" i="4"/>
  <c r="Y70" i="4"/>
  <c r="Y69" i="4"/>
  <c r="Y68" i="4"/>
  <c r="Y67" i="4"/>
  <c r="Y66" i="4"/>
  <c r="Y65" i="4"/>
  <c r="Y64" i="4"/>
  <c r="Y63" i="4"/>
  <c r="Y62" i="4"/>
  <c r="Y61" i="4"/>
  <c r="Y60" i="4"/>
  <c r="Y59" i="4"/>
  <c r="Y58" i="4"/>
  <c r="Y5" i="4"/>
  <c r="Y6" i="4"/>
  <c r="Y7" i="4"/>
  <c r="Y8" i="4"/>
  <c r="Y9" i="4"/>
  <c r="Y10" i="4"/>
  <c r="Y11" i="4"/>
  <c r="Y12" i="4"/>
  <c r="Y13" i="4"/>
  <c r="Y14" i="4"/>
  <c r="Y15" i="4"/>
  <c r="Y16" i="4"/>
  <c r="Y17" i="4"/>
  <c r="Y19" i="4"/>
  <c r="Y21" i="4"/>
  <c r="Y23" i="4"/>
  <c r="Y25" i="4"/>
  <c r="Y27" i="4"/>
  <c r="Y18" i="4"/>
  <c r="Y20" i="4"/>
  <c r="Y22" i="4"/>
  <c r="Y24" i="4"/>
  <c r="Y26" i="4"/>
  <c r="Y4" i="4"/>
  <c r="Q162" i="4"/>
  <c r="Q161" i="4"/>
  <c r="Q160" i="4"/>
  <c r="Q159" i="4"/>
  <c r="Q158" i="4"/>
  <c r="Q157" i="4"/>
  <c r="Q156" i="4"/>
  <c r="Q155" i="4"/>
  <c r="Q154" i="4"/>
  <c r="Q153" i="4"/>
  <c r="Q152" i="4"/>
  <c r="Q151" i="4"/>
  <c r="Q150" i="4"/>
  <c r="Q149" i="4"/>
  <c r="Q148" i="4"/>
  <c r="Q147" i="4"/>
  <c r="Q146" i="4"/>
  <c r="Q145" i="4"/>
  <c r="Q144" i="4"/>
  <c r="Q143" i="4"/>
  <c r="Q142" i="4"/>
  <c r="Q141" i="4"/>
  <c r="Q140" i="4"/>
  <c r="Q139" i="4"/>
  <c r="Q80" i="4"/>
  <c r="Q79" i="4"/>
  <c r="Q78" i="4"/>
  <c r="Q77" i="4"/>
  <c r="Q76" i="4"/>
  <c r="Q75" i="4"/>
  <c r="Q74" i="4"/>
  <c r="Q73" i="4"/>
  <c r="Q72" i="4"/>
  <c r="Q81" i="4"/>
  <c r="Q71" i="4"/>
  <c r="Q70" i="4"/>
  <c r="Q69" i="4"/>
  <c r="Q68" i="4"/>
  <c r="Q67" i="4"/>
  <c r="Q66" i="4"/>
  <c r="Q65" i="4"/>
  <c r="Q64" i="4"/>
  <c r="Q63" i="4"/>
  <c r="Q62" i="4"/>
  <c r="Q61" i="4"/>
  <c r="Q60" i="4"/>
  <c r="Q59" i="4"/>
  <c r="Q58" i="4"/>
  <c r="Q5" i="4"/>
  <c r="Q6" i="4"/>
  <c r="Q7" i="4"/>
  <c r="Q8" i="4"/>
  <c r="Q9" i="4"/>
  <c r="Q10" i="4"/>
  <c r="Q11" i="4"/>
  <c r="Q12" i="4"/>
  <c r="Q13" i="4"/>
  <c r="Q14" i="4"/>
  <c r="Q15" i="4"/>
  <c r="Q16" i="4"/>
  <c r="Q17" i="4"/>
  <c r="Q19" i="4"/>
  <c r="Q21" i="4"/>
  <c r="Q23" i="4"/>
  <c r="Q25" i="4"/>
  <c r="Q27" i="4"/>
  <c r="Q18" i="4"/>
  <c r="Q20" i="4"/>
  <c r="Q22" i="4"/>
  <c r="Q24" i="4"/>
  <c r="Q26" i="4"/>
  <c r="Q4" i="4"/>
  <c r="Y27" i="3"/>
  <c r="P25" i="3"/>
  <c r="P23" i="3"/>
  <c r="U18" i="3"/>
  <c r="X216" i="3"/>
  <c r="X215" i="3"/>
  <c r="X214" i="3"/>
  <c r="X213" i="3"/>
  <c r="X212" i="3"/>
  <c r="X211" i="3"/>
  <c r="X210" i="3"/>
  <c r="X209" i="3"/>
  <c r="X208" i="3"/>
  <c r="X207" i="3"/>
  <c r="X206" i="3"/>
  <c r="X205" i="3"/>
  <c r="X204" i="3"/>
  <c r="X203" i="3"/>
  <c r="X202" i="3"/>
  <c r="X201" i="3"/>
  <c r="X200" i="3"/>
  <c r="X199" i="3"/>
  <c r="X198" i="3"/>
  <c r="X197" i="3"/>
  <c r="X196" i="3"/>
  <c r="X195" i="3"/>
  <c r="X194" i="3"/>
  <c r="X193" i="3"/>
  <c r="X189" i="3"/>
  <c r="X188" i="3"/>
  <c r="X187" i="3"/>
  <c r="X186" i="3"/>
  <c r="X185" i="3"/>
  <c r="X184" i="3"/>
  <c r="X183" i="3"/>
  <c r="X182" i="3"/>
  <c r="X181" i="3"/>
  <c r="X180" i="3"/>
  <c r="X179" i="3"/>
  <c r="X178" i="3"/>
  <c r="X177" i="3"/>
  <c r="X176" i="3"/>
  <c r="X175" i="3"/>
  <c r="X174" i="3"/>
  <c r="X173" i="3"/>
  <c r="X172" i="3"/>
  <c r="X171" i="3"/>
  <c r="X168" i="3"/>
  <c r="X167" i="3"/>
  <c r="X166" i="3"/>
  <c r="X170" i="3"/>
  <c r="X169" i="3"/>
  <c r="X135" i="4"/>
  <c r="X134" i="4"/>
  <c r="X133" i="4"/>
  <c r="X132" i="4"/>
  <c r="X131" i="4"/>
  <c r="X130" i="4"/>
  <c r="X129" i="4"/>
  <c r="X128" i="4"/>
  <c r="X127" i="4"/>
  <c r="X126" i="4"/>
  <c r="X125" i="4"/>
  <c r="X124" i="4"/>
  <c r="X123" i="4"/>
  <c r="X122" i="4"/>
  <c r="X121" i="4"/>
  <c r="X120" i="4"/>
  <c r="X119" i="4"/>
  <c r="X118" i="4"/>
  <c r="X117" i="4"/>
  <c r="X116" i="4"/>
  <c r="X115" i="4"/>
  <c r="X114" i="4"/>
  <c r="X113" i="4"/>
  <c r="X112" i="4"/>
  <c r="X162" i="3"/>
  <c r="X160" i="3"/>
  <c r="X158" i="3"/>
  <c r="X156" i="3"/>
  <c r="X154" i="3"/>
  <c r="X108" i="4"/>
  <c r="X107" i="4"/>
  <c r="X106" i="4"/>
  <c r="X105" i="4"/>
  <c r="X104" i="4"/>
  <c r="X103" i="4"/>
  <c r="X102" i="4"/>
  <c r="X101" i="4"/>
  <c r="X100" i="4"/>
  <c r="X99" i="4"/>
  <c r="X98" i="4"/>
  <c r="X97" i="4"/>
  <c r="X96" i="4"/>
  <c r="X95" i="4"/>
  <c r="X94" i="4"/>
  <c r="X93" i="4"/>
  <c r="X92" i="4"/>
  <c r="X91" i="4"/>
  <c r="X90" i="4"/>
  <c r="X89" i="4"/>
  <c r="X88" i="4"/>
  <c r="X87" i="4"/>
  <c r="X86" i="4"/>
  <c r="X85" i="4"/>
  <c r="X161" i="3"/>
  <c r="X159" i="3"/>
  <c r="X157" i="3"/>
  <c r="X155" i="3"/>
  <c r="X153" i="3"/>
  <c r="X152" i="3"/>
  <c r="X151" i="3"/>
  <c r="X150" i="3"/>
  <c r="X149" i="3"/>
  <c r="X148" i="3"/>
  <c r="X147" i="3"/>
  <c r="X146" i="3"/>
  <c r="X145" i="3"/>
  <c r="X144" i="3"/>
  <c r="X143" i="3"/>
  <c r="X142" i="3"/>
  <c r="X141" i="3"/>
  <c r="X140" i="3"/>
  <c r="X139" i="3"/>
  <c r="X135" i="3"/>
  <c r="X134" i="3"/>
  <c r="X133" i="3"/>
  <c r="X132" i="3"/>
  <c r="X131" i="3"/>
  <c r="X130" i="3"/>
  <c r="X129" i="3"/>
  <c r="X128" i="3"/>
  <c r="X127" i="3"/>
  <c r="X126" i="3"/>
  <c r="X125" i="3"/>
  <c r="X124" i="3"/>
  <c r="X123" i="3"/>
  <c r="X122" i="3"/>
  <c r="X121" i="3"/>
  <c r="X120" i="3"/>
  <c r="X119" i="3"/>
  <c r="X118" i="3"/>
  <c r="X117" i="3"/>
  <c r="X116" i="3"/>
  <c r="X115" i="3"/>
  <c r="X114" i="3"/>
  <c r="X113" i="3"/>
  <c r="X112" i="3"/>
  <c r="X69" i="3"/>
  <c r="X68" i="3"/>
  <c r="X67" i="3"/>
  <c r="X66" i="3"/>
  <c r="X65" i="3"/>
  <c r="X64" i="3"/>
  <c r="X63" i="3"/>
  <c r="X62" i="3"/>
  <c r="X61" i="3"/>
  <c r="X60" i="3"/>
  <c r="X59" i="3"/>
  <c r="X58" i="3"/>
  <c r="X108" i="3"/>
  <c r="X106" i="3"/>
  <c r="X104" i="3"/>
  <c r="X102" i="3"/>
  <c r="X100" i="3"/>
  <c r="X80" i="3"/>
  <c r="X79" i="3"/>
  <c r="X78" i="3"/>
  <c r="X77" i="3"/>
  <c r="X76" i="3"/>
  <c r="X75" i="3"/>
  <c r="X74" i="3"/>
  <c r="X73" i="3"/>
  <c r="X72" i="3"/>
  <c r="X71" i="3"/>
  <c r="X70" i="3"/>
  <c r="X99" i="3"/>
  <c r="X98" i="3"/>
  <c r="X97" i="3"/>
  <c r="X96" i="3"/>
  <c r="X95" i="3"/>
  <c r="X94" i="3"/>
  <c r="X93" i="3"/>
  <c r="X92" i="3"/>
  <c r="X91" i="3"/>
  <c r="X90" i="3"/>
  <c r="X89" i="3"/>
  <c r="X88" i="3"/>
  <c r="X87" i="3"/>
  <c r="X86" i="3"/>
  <c r="X85" i="3"/>
  <c r="X81" i="3"/>
  <c r="X107" i="3"/>
  <c r="X105" i="3"/>
  <c r="X103" i="3"/>
  <c r="X101" i="3"/>
  <c r="X54" i="4"/>
  <c r="X53" i="4"/>
  <c r="X52" i="4"/>
  <c r="X51" i="4"/>
  <c r="X50" i="4"/>
  <c r="X49" i="4"/>
  <c r="X48" i="4"/>
  <c r="X47" i="4"/>
  <c r="X46" i="4"/>
  <c r="X45" i="4"/>
  <c r="X44" i="4"/>
  <c r="X43" i="4"/>
  <c r="X42" i="4"/>
  <c r="X41" i="4"/>
  <c r="X40" i="4"/>
  <c r="X39" i="4"/>
  <c r="X38" i="4"/>
  <c r="X37" i="4"/>
  <c r="X36" i="4"/>
  <c r="X35" i="4"/>
  <c r="X34" i="4"/>
  <c r="X33" i="4"/>
  <c r="X32" i="4"/>
  <c r="X31" i="4"/>
  <c r="X54" i="3"/>
  <c r="X53" i="3"/>
  <c r="X52" i="3"/>
  <c r="X51" i="3"/>
  <c r="X50" i="3"/>
  <c r="X49" i="3"/>
  <c r="X48" i="3"/>
  <c r="X47" i="3"/>
  <c r="X46" i="3"/>
  <c r="X45" i="3"/>
  <c r="X44" i="3"/>
  <c r="X43" i="3"/>
  <c r="X42" i="3"/>
  <c r="X41" i="3"/>
  <c r="X40" i="3"/>
  <c r="X39" i="3"/>
  <c r="X38" i="3"/>
  <c r="X37" i="3"/>
  <c r="X36" i="3"/>
  <c r="X35" i="3"/>
  <c r="X34" i="3"/>
  <c r="X33" i="3"/>
  <c r="X32" i="3"/>
  <c r="X31" i="3"/>
  <c r="X5" i="3"/>
  <c r="X6" i="3"/>
  <c r="X7" i="3"/>
  <c r="X8" i="3"/>
  <c r="X9" i="3"/>
  <c r="X10" i="3"/>
  <c r="X11" i="3"/>
  <c r="X12" i="3"/>
  <c r="X13" i="3"/>
  <c r="X14" i="3"/>
  <c r="X15" i="3"/>
  <c r="X16" i="3"/>
  <c r="X17" i="3"/>
  <c r="X18" i="3"/>
  <c r="R215" i="3"/>
  <c r="R213" i="3"/>
  <c r="R211" i="3"/>
  <c r="R209" i="3"/>
  <c r="R207" i="3"/>
  <c r="R205" i="3"/>
  <c r="R203" i="3"/>
  <c r="R201" i="3"/>
  <c r="R199" i="3"/>
  <c r="R197" i="3"/>
  <c r="R195" i="3"/>
  <c r="R193" i="3"/>
  <c r="R188" i="3"/>
  <c r="R186" i="3"/>
  <c r="R185" i="3"/>
  <c r="R184" i="3"/>
  <c r="R183" i="3"/>
  <c r="R182" i="3"/>
  <c r="R181" i="3"/>
  <c r="R180" i="3"/>
  <c r="R179" i="3"/>
  <c r="R178" i="3"/>
  <c r="R177" i="3"/>
  <c r="R176" i="3"/>
  <c r="R175" i="3"/>
  <c r="R174" i="3"/>
  <c r="R173" i="3"/>
  <c r="R172" i="3"/>
  <c r="R216" i="3"/>
  <c r="R208" i="3"/>
  <c r="R200" i="3"/>
  <c r="R189" i="3"/>
  <c r="R210" i="3"/>
  <c r="R202" i="3"/>
  <c r="R194" i="3"/>
  <c r="R214" i="3"/>
  <c r="R206" i="3"/>
  <c r="R198" i="3"/>
  <c r="R187" i="3"/>
  <c r="R171" i="3"/>
  <c r="R170" i="3"/>
  <c r="R169" i="3"/>
  <c r="R168" i="3"/>
  <c r="R167" i="3"/>
  <c r="R166" i="3"/>
  <c r="R212" i="3"/>
  <c r="R204" i="3"/>
  <c r="R196" i="3"/>
  <c r="R135" i="4"/>
  <c r="R134" i="4"/>
  <c r="R133" i="4"/>
  <c r="R132" i="4"/>
  <c r="R131" i="4"/>
  <c r="R130" i="4"/>
  <c r="R129" i="4"/>
  <c r="R128" i="4"/>
  <c r="R127" i="4"/>
  <c r="R126" i="4"/>
  <c r="R125" i="4"/>
  <c r="R124" i="4"/>
  <c r="R123" i="4"/>
  <c r="R122" i="4"/>
  <c r="R121" i="4"/>
  <c r="R120" i="4"/>
  <c r="R119" i="4"/>
  <c r="R118" i="4"/>
  <c r="R117" i="4"/>
  <c r="R116" i="4"/>
  <c r="R115" i="4"/>
  <c r="R114" i="4"/>
  <c r="R113" i="4"/>
  <c r="R112" i="4"/>
  <c r="R162" i="3"/>
  <c r="R160" i="3"/>
  <c r="R158" i="3"/>
  <c r="R156" i="3"/>
  <c r="R154" i="3"/>
  <c r="R153" i="3"/>
  <c r="R152" i="3"/>
  <c r="R151" i="3"/>
  <c r="R150" i="3"/>
  <c r="R149" i="3"/>
  <c r="R148" i="3"/>
  <c r="R147" i="3"/>
  <c r="R146" i="3"/>
  <c r="R145" i="3"/>
  <c r="R144" i="3"/>
  <c r="R143" i="3"/>
  <c r="R142" i="3"/>
  <c r="R141" i="3"/>
  <c r="R140" i="3"/>
  <c r="R139" i="3"/>
  <c r="R161" i="3"/>
  <c r="R159" i="3"/>
  <c r="R157" i="3"/>
  <c r="R155" i="3"/>
  <c r="R108" i="4"/>
  <c r="R107" i="4"/>
  <c r="R106" i="4"/>
  <c r="R105" i="4"/>
  <c r="R104" i="4"/>
  <c r="R103" i="4"/>
  <c r="R102" i="4"/>
  <c r="R101" i="4"/>
  <c r="R100" i="4"/>
  <c r="R99" i="4"/>
  <c r="R98" i="4"/>
  <c r="R97" i="4"/>
  <c r="R96" i="4"/>
  <c r="R95" i="4"/>
  <c r="R94" i="4"/>
  <c r="R93" i="4"/>
  <c r="R92" i="4"/>
  <c r="R91" i="4"/>
  <c r="R90" i="4"/>
  <c r="R89" i="4"/>
  <c r="R88" i="4"/>
  <c r="R87" i="4"/>
  <c r="R86" i="4"/>
  <c r="R85" i="4"/>
  <c r="R135" i="3"/>
  <c r="R134" i="3"/>
  <c r="R133" i="3"/>
  <c r="R132" i="3"/>
  <c r="R131" i="3"/>
  <c r="R130" i="3"/>
  <c r="R129" i="3"/>
  <c r="R128" i="3"/>
  <c r="R127" i="3"/>
  <c r="R126" i="3"/>
  <c r="R125" i="3"/>
  <c r="R124" i="3"/>
  <c r="R123" i="3"/>
  <c r="R122" i="3"/>
  <c r="R121" i="3"/>
  <c r="R120" i="3"/>
  <c r="R119" i="3"/>
  <c r="R118" i="3"/>
  <c r="R117" i="3"/>
  <c r="R116" i="3"/>
  <c r="R115" i="3"/>
  <c r="R114" i="3"/>
  <c r="R113" i="3"/>
  <c r="R112" i="3"/>
  <c r="R108" i="3"/>
  <c r="R106" i="3"/>
  <c r="R104" i="3"/>
  <c r="R102" i="3"/>
  <c r="R100" i="3"/>
  <c r="R99" i="3"/>
  <c r="R98" i="3"/>
  <c r="R97" i="3"/>
  <c r="R96" i="3"/>
  <c r="R95" i="3"/>
  <c r="R94" i="3"/>
  <c r="R93" i="3"/>
  <c r="R92" i="3"/>
  <c r="R91" i="3"/>
  <c r="R90" i="3"/>
  <c r="R89" i="3"/>
  <c r="R88" i="3"/>
  <c r="R87" i="3"/>
  <c r="R86" i="3"/>
  <c r="R85" i="3"/>
  <c r="R81" i="3"/>
  <c r="R107" i="3"/>
  <c r="R105" i="3"/>
  <c r="R103" i="3"/>
  <c r="R101" i="3"/>
  <c r="R70" i="3"/>
  <c r="R69" i="3"/>
  <c r="R68" i="3"/>
  <c r="R67" i="3"/>
  <c r="R66" i="3"/>
  <c r="R65" i="3"/>
  <c r="R64" i="3"/>
  <c r="R63" i="3"/>
  <c r="R62" i="3"/>
  <c r="R61" i="3"/>
  <c r="R60" i="3"/>
  <c r="R59" i="3"/>
  <c r="R58" i="3"/>
  <c r="R80" i="3"/>
  <c r="R79" i="3"/>
  <c r="R78" i="3"/>
  <c r="R77" i="3"/>
  <c r="R76" i="3"/>
  <c r="R75" i="3"/>
  <c r="R74" i="3"/>
  <c r="R73" i="3"/>
  <c r="R72" i="3"/>
  <c r="R71" i="3"/>
  <c r="R5" i="3"/>
  <c r="R6" i="3"/>
  <c r="R7" i="3"/>
  <c r="R8" i="3"/>
  <c r="R9" i="3"/>
  <c r="R10" i="3"/>
  <c r="R11" i="3"/>
  <c r="R12" i="3"/>
  <c r="R13" i="3"/>
  <c r="R14" i="3"/>
  <c r="R15" i="3"/>
  <c r="R16" i="3"/>
  <c r="R17" i="3"/>
  <c r="R18" i="3"/>
  <c r="R19" i="3"/>
  <c r="R54" i="4"/>
  <c r="R53" i="4"/>
  <c r="R52" i="4"/>
  <c r="R51" i="4"/>
  <c r="R50" i="4"/>
  <c r="R49" i="4"/>
  <c r="R48" i="4"/>
  <c r="R47" i="4"/>
  <c r="R46" i="4"/>
  <c r="R45" i="4"/>
  <c r="R44" i="4"/>
  <c r="R43" i="4"/>
  <c r="R42" i="4"/>
  <c r="R41" i="4"/>
  <c r="R40" i="4"/>
  <c r="R39" i="4"/>
  <c r="R38" i="4"/>
  <c r="R37" i="4"/>
  <c r="R36" i="4"/>
  <c r="R35" i="4"/>
  <c r="R34" i="4"/>
  <c r="R33" i="4"/>
  <c r="R32" i="4"/>
  <c r="R31" i="4"/>
  <c r="R54" i="3"/>
  <c r="R53" i="3"/>
  <c r="R52" i="3"/>
  <c r="R51" i="3"/>
  <c r="R50" i="3"/>
  <c r="R49" i="3"/>
  <c r="R48" i="3"/>
  <c r="R47" i="3"/>
  <c r="R46" i="3"/>
  <c r="R45" i="3"/>
  <c r="R44" i="3"/>
  <c r="R43" i="3"/>
  <c r="R42" i="3"/>
  <c r="R41" i="3"/>
  <c r="R40" i="3"/>
  <c r="R39" i="3"/>
  <c r="R38" i="3"/>
  <c r="R37" i="3"/>
  <c r="R36" i="3"/>
  <c r="R35" i="3"/>
  <c r="R34" i="3"/>
  <c r="R33" i="3"/>
  <c r="R32" i="3"/>
  <c r="R31" i="3"/>
  <c r="W216" i="3"/>
  <c r="W214" i="3"/>
  <c r="W212" i="3"/>
  <c r="W210" i="3"/>
  <c r="W208" i="3"/>
  <c r="W206" i="3"/>
  <c r="W204" i="3"/>
  <c r="W202" i="3"/>
  <c r="W200" i="3"/>
  <c r="W198" i="3"/>
  <c r="W196" i="3"/>
  <c r="W194" i="3"/>
  <c r="W189" i="3"/>
  <c r="W187" i="3"/>
  <c r="W185" i="3"/>
  <c r="W184" i="3"/>
  <c r="W183" i="3"/>
  <c r="W182" i="3"/>
  <c r="W181" i="3"/>
  <c r="W180" i="3"/>
  <c r="W179" i="3"/>
  <c r="W178" i="3"/>
  <c r="W177" i="3"/>
  <c r="W176" i="3"/>
  <c r="W175" i="3"/>
  <c r="W174" i="3"/>
  <c r="W173" i="3"/>
  <c r="W215" i="3"/>
  <c r="W213" i="3"/>
  <c r="W211" i="3"/>
  <c r="W209" i="3"/>
  <c r="W207" i="3"/>
  <c r="W205" i="3"/>
  <c r="W203" i="3"/>
  <c r="W201" i="3"/>
  <c r="W199" i="3"/>
  <c r="W197" i="3"/>
  <c r="W195" i="3"/>
  <c r="W193" i="3"/>
  <c r="W188" i="3"/>
  <c r="W186" i="3"/>
  <c r="W171" i="3"/>
  <c r="W172" i="3"/>
  <c r="W170" i="3"/>
  <c r="W169" i="3"/>
  <c r="W168" i="3"/>
  <c r="W167" i="3"/>
  <c r="W166" i="3"/>
  <c r="W135" i="4"/>
  <c r="W134" i="4"/>
  <c r="W133" i="4"/>
  <c r="W132" i="4"/>
  <c r="W131" i="4"/>
  <c r="W130" i="4"/>
  <c r="W129" i="4"/>
  <c r="W128" i="4"/>
  <c r="W127" i="4"/>
  <c r="W126" i="4"/>
  <c r="W125" i="4"/>
  <c r="W124" i="4"/>
  <c r="W123" i="4"/>
  <c r="W122" i="4"/>
  <c r="W121" i="4"/>
  <c r="W120" i="4"/>
  <c r="W119" i="4"/>
  <c r="W118" i="4"/>
  <c r="W117" i="4"/>
  <c r="W116" i="4"/>
  <c r="W115" i="4"/>
  <c r="W114" i="4"/>
  <c r="W113" i="4"/>
  <c r="W112" i="4"/>
  <c r="W162" i="3"/>
  <c r="W161" i="3"/>
  <c r="W160" i="3"/>
  <c r="W159" i="3"/>
  <c r="W158" i="3"/>
  <c r="W157" i="3"/>
  <c r="W156" i="3"/>
  <c r="W155" i="3"/>
  <c r="W154" i="3"/>
  <c r="W153" i="3"/>
  <c r="W152" i="3"/>
  <c r="W151" i="3"/>
  <c r="W150" i="3"/>
  <c r="W149" i="3"/>
  <c r="W148" i="3"/>
  <c r="W147" i="3"/>
  <c r="W146" i="3"/>
  <c r="W145" i="3"/>
  <c r="W144" i="3"/>
  <c r="W143" i="3"/>
  <c r="W142" i="3"/>
  <c r="W141" i="3"/>
  <c r="W140" i="3"/>
  <c r="W139" i="3"/>
  <c r="W108" i="4"/>
  <c r="W107" i="4"/>
  <c r="W106" i="4"/>
  <c r="W105" i="4"/>
  <c r="W104" i="4"/>
  <c r="W103" i="4"/>
  <c r="W102" i="4"/>
  <c r="W101" i="4"/>
  <c r="W100" i="4"/>
  <c r="W99" i="4"/>
  <c r="W98" i="4"/>
  <c r="W97" i="4"/>
  <c r="W96" i="4"/>
  <c r="W95" i="4"/>
  <c r="W135" i="3"/>
  <c r="W134" i="3"/>
  <c r="W133" i="3"/>
  <c r="W132" i="3"/>
  <c r="W131" i="3"/>
  <c r="W130" i="3"/>
  <c r="W129" i="3"/>
  <c r="W128" i="3"/>
  <c r="W127" i="3"/>
  <c r="W126" i="3"/>
  <c r="W125" i="3"/>
  <c r="W124" i="3"/>
  <c r="W123" i="3"/>
  <c r="W122" i="3"/>
  <c r="W121" i="3"/>
  <c r="W120" i="3"/>
  <c r="W119" i="3"/>
  <c r="W118" i="3"/>
  <c r="W117" i="3"/>
  <c r="W116" i="3"/>
  <c r="W115" i="3"/>
  <c r="W114" i="3"/>
  <c r="W113" i="3"/>
  <c r="W93" i="4"/>
  <c r="W91" i="4"/>
  <c r="W89" i="4"/>
  <c r="W87" i="4"/>
  <c r="W85" i="4"/>
  <c r="W94" i="4"/>
  <c r="W92" i="4"/>
  <c r="W90" i="4"/>
  <c r="W88" i="4"/>
  <c r="W86" i="4"/>
  <c r="W108" i="3"/>
  <c r="W107" i="3"/>
  <c r="W106" i="3"/>
  <c r="W105" i="3"/>
  <c r="W104" i="3"/>
  <c r="W103" i="3"/>
  <c r="W102" i="3"/>
  <c r="W101" i="3"/>
  <c r="W100" i="3"/>
  <c r="W112" i="3"/>
  <c r="W69" i="3"/>
  <c r="W68" i="3"/>
  <c r="W67" i="3"/>
  <c r="W66" i="3"/>
  <c r="W65" i="3"/>
  <c r="W64" i="3"/>
  <c r="W63" i="3"/>
  <c r="W62" i="3"/>
  <c r="W61" i="3"/>
  <c r="W60" i="3"/>
  <c r="W59" i="3"/>
  <c r="W58" i="3"/>
  <c r="W80" i="3"/>
  <c r="W79" i="3"/>
  <c r="W78" i="3"/>
  <c r="W77" i="3"/>
  <c r="W76" i="3"/>
  <c r="W75" i="3"/>
  <c r="W74" i="3"/>
  <c r="W73" i="3"/>
  <c r="W72" i="3"/>
  <c r="W71" i="3"/>
  <c r="W70" i="3"/>
  <c r="W99" i="3"/>
  <c r="W98" i="3"/>
  <c r="W97" i="3"/>
  <c r="W96" i="3"/>
  <c r="W95" i="3"/>
  <c r="W94" i="3"/>
  <c r="W93" i="3"/>
  <c r="W92" i="3"/>
  <c r="W91" i="3"/>
  <c r="W90" i="3"/>
  <c r="W89" i="3"/>
  <c r="W88" i="3"/>
  <c r="W87" i="3"/>
  <c r="W86" i="3"/>
  <c r="W85" i="3"/>
  <c r="W81" i="3"/>
  <c r="W54" i="4"/>
  <c r="W53" i="4"/>
  <c r="W52" i="4"/>
  <c r="W51" i="4"/>
  <c r="W50" i="4"/>
  <c r="W49" i="4"/>
  <c r="W48" i="4"/>
  <c r="W47" i="4"/>
  <c r="W46" i="4"/>
  <c r="W45" i="4"/>
  <c r="W44" i="4"/>
  <c r="W43" i="4"/>
  <c r="W42" i="4"/>
  <c r="W41" i="4"/>
  <c r="W40" i="4"/>
  <c r="W39" i="4"/>
  <c r="W38" i="4"/>
  <c r="W37" i="4"/>
  <c r="W36" i="4"/>
  <c r="W35" i="4"/>
  <c r="W34" i="4"/>
  <c r="W33" i="4"/>
  <c r="W32" i="4"/>
  <c r="W31" i="4"/>
  <c r="W54" i="3"/>
  <c r="W53" i="3"/>
  <c r="W52" i="3"/>
  <c r="W51" i="3"/>
  <c r="W50" i="3"/>
  <c r="W49" i="3"/>
  <c r="W48" i="3"/>
  <c r="W47" i="3"/>
  <c r="W46" i="3"/>
  <c r="W45" i="3"/>
  <c r="W44" i="3"/>
  <c r="W43" i="3"/>
  <c r="W42" i="3"/>
  <c r="W41" i="3"/>
  <c r="W40" i="3"/>
  <c r="W39" i="3"/>
  <c r="W38" i="3"/>
  <c r="W37" i="3"/>
  <c r="W36" i="3"/>
  <c r="W35" i="3"/>
  <c r="W34" i="3"/>
  <c r="W33" i="3"/>
  <c r="W32" i="3"/>
  <c r="W31" i="3"/>
  <c r="W5" i="3"/>
  <c r="W6" i="3"/>
  <c r="X162" i="4"/>
  <c r="X161" i="4"/>
  <c r="X160" i="4"/>
  <c r="X159" i="4"/>
  <c r="X158" i="4"/>
  <c r="X157" i="4"/>
  <c r="X156" i="4"/>
  <c r="X155" i="4"/>
  <c r="X154" i="4"/>
  <c r="X153" i="4"/>
  <c r="X152" i="4"/>
  <c r="X151" i="4"/>
  <c r="X150" i="4"/>
  <c r="X149" i="4"/>
  <c r="X148" i="4"/>
  <c r="X147" i="4"/>
  <c r="X146" i="4"/>
  <c r="X145" i="4"/>
  <c r="X144" i="4"/>
  <c r="X142" i="4"/>
  <c r="X140" i="4"/>
  <c r="X81" i="4"/>
  <c r="X143" i="4"/>
  <c r="X141" i="4"/>
  <c r="X139" i="4"/>
  <c r="X80" i="4"/>
  <c r="X78" i="4"/>
  <c r="X76" i="4"/>
  <c r="X74" i="4"/>
  <c r="X72" i="4"/>
  <c r="X79" i="4"/>
  <c r="X77" i="4"/>
  <c r="X75" i="4"/>
  <c r="X73" i="4"/>
  <c r="X71" i="4"/>
  <c r="X70" i="4"/>
  <c r="X69" i="4"/>
  <c r="X68" i="4"/>
  <c r="X67" i="4"/>
  <c r="X66" i="4"/>
  <c r="X65" i="4"/>
  <c r="X64" i="4"/>
  <c r="X63" i="4"/>
  <c r="X62" i="4"/>
  <c r="X61" i="4"/>
  <c r="X60" i="4"/>
  <c r="X59" i="4"/>
  <c r="X58" i="4"/>
  <c r="X5" i="4"/>
  <c r="X6" i="4"/>
  <c r="X7" i="4"/>
  <c r="X8" i="4"/>
  <c r="X9" i="4"/>
  <c r="X10" i="4"/>
  <c r="X11" i="4"/>
  <c r="X12" i="4"/>
  <c r="X13" i="4"/>
  <c r="X14" i="4"/>
  <c r="X15" i="4"/>
  <c r="X16" i="4"/>
  <c r="X17" i="4"/>
  <c r="X18" i="4"/>
  <c r="X19" i="4"/>
  <c r="X20" i="4"/>
  <c r="X21" i="4"/>
  <c r="X22" i="4"/>
  <c r="X23" i="4"/>
  <c r="X24" i="4"/>
  <c r="X25" i="4"/>
  <c r="X26" i="4"/>
  <c r="X27" i="4"/>
  <c r="X4" i="4"/>
  <c r="T162" i="4"/>
  <c r="T161" i="4"/>
  <c r="T160" i="4"/>
  <c r="T159" i="4"/>
  <c r="T158" i="4"/>
  <c r="T157" i="4"/>
  <c r="T156" i="4"/>
  <c r="T155" i="4"/>
  <c r="T154" i="4"/>
  <c r="T153" i="4"/>
  <c r="T152" i="4"/>
  <c r="T151" i="4"/>
  <c r="T150" i="4"/>
  <c r="T149" i="4"/>
  <c r="T148" i="4"/>
  <c r="T147" i="4"/>
  <c r="T146" i="4"/>
  <c r="T145" i="4"/>
  <c r="T143" i="4"/>
  <c r="T141" i="4"/>
  <c r="T139" i="4"/>
  <c r="T81" i="4"/>
  <c r="T144" i="4"/>
  <c r="T142" i="4"/>
  <c r="T140" i="4"/>
  <c r="T79" i="4"/>
  <c r="T77" i="4"/>
  <c r="T75" i="4"/>
  <c r="T73" i="4"/>
  <c r="T80" i="4"/>
  <c r="T78" i="4"/>
  <c r="T76" i="4"/>
  <c r="T74" i="4"/>
  <c r="T72" i="4"/>
  <c r="T71" i="4"/>
  <c r="T70" i="4"/>
  <c r="T69" i="4"/>
  <c r="T68" i="4"/>
  <c r="T67" i="4"/>
  <c r="T66" i="4"/>
  <c r="T65" i="4"/>
  <c r="T64" i="4"/>
  <c r="T63" i="4"/>
  <c r="T62" i="4"/>
  <c r="T61" i="4"/>
  <c r="T60" i="4"/>
  <c r="T59" i="4"/>
  <c r="T58" i="4"/>
  <c r="T5" i="4"/>
  <c r="T6" i="4"/>
  <c r="T7" i="4"/>
  <c r="T8" i="4"/>
  <c r="T9" i="4"/>
  <c r="T10" i="4"/>
  <c r="T11" i="4"/>
  <c r="T12" i="4"/>
  <c r="T13" i="4"/>
  <c r="T14" i="4"/>
  <c r="T15" i="4"/>
  <c r="T16" i="4"/>
  <c r="T17" i="4"/>
  <c r="T18" i="4"/>
  <c r="T19" i="4"/>
  <c r="T20" i="4"/>
  <c r="T21" i="4"/>
  <c r="T22" i="4"/>
  <c r="T23" i="4"/>
  <c r="T24" i="4"/>
  <c r="T25" i="4"/>
  <c r="T26" i="4"/>
  <c r="T27" i="4"/>
  <c r="T4" i="4"/>
  <c r="P162" i="4"/>
  <c r="P161" i="4"/>
  <c r="P160" i="4"/>
  <c r="P159" i="4"/>
  <c r="P158" i="4"/>
  <c r="P157" i="4"/>
  <c r="P156" i="4"/>
  <c r="P155" i="4"/>
  <c r="P154" i="4"/>
  <c r="P153" i="4"/>
  <c r="P152" i="4"/>
  <c r="P151" i="4"/>
  <c r="P150" i="4"/>
  <c r="P149" i="4"/>
  <c r="P148" i="4"/>
  <c r="P147" i="4"/>
  <c r="P146" i="4"/>
  <c r="P145" i="4"/>
  <c r="P144" i="4"/>
  <c r="P142" i="4"/>
  <c r="P140" i="4"/>
  <c r="P81" i="4"/>
  <c r="P143" i="4"/>
  <c r="P141" i="4"/>
  <c r="P139" i="4"/>
  <c r="P80" i="4"/>
  <c r="P78" i="4"/>
  <c r="P76" i="4"/>
  <c r="P74" i="4"/>
  <c r="P72" i="4"/>
  <c r="P79" i="4"/>
  <c r="P77" i="4"/>
  <c r="P75" i="4"/>
  <c r="P73" i="4"/>
  <c r="P71" i="4"/>
  <c r="P70" i="4"/>
  <c r="P69" i="4"/>
  <c r="P68" i="4"/>
  <c r="P67" i="4"/>
  <c r="P66" i="4"/>
  <c r="P65" i="4"/>
  <c r="P64" i="4"/>
  <c r="P63" i="4"/>
  <c r="P62" i="4"/>
  <c r="P61" i="4"/>
  <c r="P60" i="4"/>
  <c r="P59" i="4"/>
  <c r="P58" i="4"/>
  <c r="P5" i="4"/>
  <c r="P6" i="4"/>
  <c r="P7" i="4"/>
  <c r="P8" i="4"/>
  <c r="P9" i="4"/>
  <c r="P10" i="4"/>
  <c r="P11" i="4"/>
  <c r="P12" i="4"/>
  <c r="P13" i="4"/>
  <c r="P14" i="4"/>
  <c r="P15" i="4"/>
  <c r="P16" i="4"/>
  <c r="P17" i="4"/>
  <c r="P18" i="4"/>
  <c r="P19" i="4"/>
  <c r="P20" i="4"/>
  <c r="P21" i="4"/>
  <c r="P22" i="4"/>
  <c r="P23" i="4"/>
  <c r="P24" i="4"/>
  <c r="P25" i="4"/>
  <c r="P26" i="4"/>
  <c r="P27" i="4"/>
  <c r="P4" i="4"/>
  <c r="Q4" i="3"/>
  <c r="U4" i="3"/>
  <c r="Y4" i="3"/>
  <c r="X27" i="3"/>
  <c r="P27" i="3"/>
  <c r="W26" i="3"/>
  <c r="S26" i="3"/>
  <c r="O26" i="3"/>
  <c r="W25" i="3"/>
  <c r="S25" i="3"/>
  <c r="O25" i="3"/>
  <c r="W24" i="3"/>
  <c r="S24" i="3"/>
  <c r="O24" i="3"/>
  <c r="W23" i="3"/>
  <c r="S23" i="3"/>
  <c r="O23" i="3"/>
  <c r="W22" i="3"/>
  <c r="S22" i="3"/>
  <c r="O22" i="3"/>
  <c r="W21" i="3"/>
  <c r="S21" i="3"/>
  <c r="O21" i="3"/>
  <c r="W20" i="3"/>
  <c r="S20" i="3"/>
  <c r="O20" i="3"/>
  <c r="W19" i="3"/>
  <c r="O19" i="3"/>
  <c r="S18" i="3"/>
  <c r="W17" i="3"/>
  <c r="O17" i="3"/>
  <c r="S16" i="3"/>
  <c r="W15" i="3"/>
  <c r="O15" i="3"/>
  <c r="S14" i="3"/>
  <c r="W13" i="3"/>
  <c r="O13" i="3"/>
  <c r="S12" i="3"/>
  <c r="W11" i="3"/>
  <c r="O11" i="3"/>
  <c r="S10" i="3"/>
  <c r="W9" i="3"/>
  <c r="S8" i="3"/>
  <c r="W7" i="3"/>
  <c r="S162" i="4"/>
  <c r="S161" i="4"/>
  <c r="S160" i="4"/>
  <c r="S159" i="4"/>
  <c r="S158" i="4"/>
  <c r="S157" i="4"/>
  <c r="S156" i="4"/>
  <c r="S155" i="4"/>
  <c r="S154" i="4"/>
  <c r="S153" i="4"/>
  <c r="S152" i="4"/>
  <c r="S151" i="4"/>
  <c r="S150" i="4"/>
  <c r="S149" i="4"/>
  <c r="S148" i="4"/>
  <c r="S147" i="4"/>
  <c r="S146" i="4"/>
  <c r="S145" i="4"/>
  <c r="S144" i="4"/>
  <c r="S143" i="4"/>
  <c r="S142" i="4"/>
  <c r="S141" i="4"/>
  <c r="S140" i="4"/>
  <c r="S139" i="4"/>
  <c r="S80" i="4"/>
  <c r="S79" i="4"/>
  <c r="S78" i="4"/>
  <c r="S77" i="4"/>
  <c r="S76" i="4"/>
  <c r="S75" i="4"/>
  <c r="S74" i="4"/>
  <c r="S73" i="4"/>
  <c r="S72" i="4"/>
  <c r="S71" i="4"/>
  <c r="S70" i="4"/>
  <c r="S69" i="4"/>
  <c r="S68" i="4"/>
  <c r="S67" i="4"/>
  <c r="S66" i="4"/>
  <c r="S65" i="4"/>
  <c r="S64" i="4"/>
  <c r="S63" i="4"/>
  <c r="S62" i="4"/>
  <c r="S61" i="4"/>
  <c r="S60" i="4"/>
  <c r="S59" i="4"/>
  <c r="S58" i="4"/>
  <c r="S81" i="4"/>
  <c r="S5" i="4"/>
  <c r="S6" i="4"/>
  <c r="S7" i="4"/>
  <c r="S8" i="4"/>
  <c r="S9" i="4"/>
  <c r="S10" i="4"/>
  <c r="S11" i="4"/>
  <c r="S12" i="4"/>
  <c r="S13" i="4"/>
  <c r="S14" i="4"/>
  <c r="S15" i="4"/>
  <c r="S16" i="4"/>
  <c r="S17" i="4"/>
  <c r="S18" i="4"/>
  <c r="S20" i="4"/>
  <c r="S22" i="4"/>
  <c r="S24" i="4"/>
  <c r="S26" i="4"/>
  <c r="S4" i="4"/>
  <c r="S19" i="4"/>
  <c r="S21" i="4"/>
  <c r="S23" i="4"/>
  <c r="S25" i="4"/>
  <c r="S27" i="4"/>
  <c r="Z4" i="3"/>
  <c r="V23" i="3"/>
  <c r="V22" i="3"/>
  <c r="Z21" i="3"/>
  <c r="Z19" i="3"/>
  <c r="U17" i="3"/>
  <c r="Y16" i="3"/>
  <c r="Q16" i="3"/>
  <c r="U15" i="3"/>
  <c r="Y14" i="3"/>
  <c r="Q14" i="3"/>
  <c r="U13" i="3"/>
  <c r="Y12" i="3"/>
  <c r="Q12" i="3"/>
  <c r="U11" i="3"/>
  <c r="Y10" i="3"/>
  <c r="Q10" i="3"/>
  <c r="U9" i="3"/>
  <c r="V216" i="3"/>
  <c r="V214" i="3"/>
  <c r="V212" i="3"/>
  <c r="V210" i="3"/>
  <c r="V208" i="3"/>
  <c r="V206" i="3"/>
  <c r="V204" i="3"/>
  <c r="V202" i="3"/>
  <c r="V200" i="3"/>
  <c r="V198" i="3"/>
  <c r="V196" i="3"/>
  <c r="V194" i="3"/>
  <c r="V189" i="3"/>
  <c r="V187" i="3"/>
  <c r="V185" i="3"/>
  <c r="V184" i="3"/>
  <c r="V183" i="3"/>
  <c r="V182" i="3"/>
  <c r="V181" i="3"/>
  <c r="V180" i="3"/>
  <c r="V179" i="3"/>
  <c r="V178" i="3"/>
  <c r="V177" i="3"/>
  <c r="V176" i="3"/>
  <c r="V175" i="3"/>
  <c r="V174" i="3"/>
  <c r="V173" i="3"/>
  <c r="V172" i="3"/>
  <c r="V171" i="3"/>
  <c r="V213" i="3"/>
  <c r="V205" i="3"/>
  <c r="V197" i="3"/>
  <c r="V186" i="3"/>
  <c r="V215" i="3"/>
  <c r="V207" i="3"/>
  <c r="V199" i="3"/>
  <c r="V188" i="3"/>
  <c r="V211" i="3"/>
  <c r="V203" i="3"/>
  <c r="V195" i="3"/>
  <c r="V170" i="3"/>
  <c r="V169" i="3"/>
  <c r="V168" i="3"/>
  <c r="V167" i="3"/>
  <c r="V166" i="3"/>
  <c r="V209" i="3"/>
  <c r="V201" i="3"/>
  <c r="V193" i="3"/>
  <c r="V135" i="4"/>
  <c r="V134" i="4"/>
  <c r="V133" i="4"/>
  <c r="V132" i="4"/>
  <c r="V131" i="4"/>
  <c r="V130" i="4"/>
  <c r="V129" i="4"/>
  <c r="V128" i="4"/>
  <c r="V127" i="4"/>
  <c r="V126" i="4"/>
  <c r="V125" i="4"/>
  <c r="V124" i="4"/>
  <c r="V123" i="4"/>
  <c r="V122" i="4"/>
  <c r="V121" i="4"/>
  <c r="V120" i="4"/>
  <c r="V119" i="4"/>
  <c r="V118" i="4"/>
  <c r="V117" i="4"/>
  <c r="V116" i="4"/>
  <c r="V115" i="4"/>
  <c r="V114" i="4"/>
  <c r="V113" i="4"/>
  <c r="V112" i="4"/>
  <c r="V161" i="3"/>
  <c r="V159" i="3"/>
  <c r="V157" i="3"/>
  <c r="V155" i="3"/>
  <c r="V153" i="3"/>
  <c r="V152" i="3"/>
  <c r="V151" i="3"/>
  <c r="V150" i="3"/>
  <c r="V149" i="3"/>
  <c r="V148" i="3"/>
  <c r="V147" i="3"/>
  <c r="V146" i="3"/>
  <c r="V145" i="3"/>
  <c r="V144" i="3"/>
  <c r="V143" i="3"/>
  <c r="V142" i="3"/>
  <c r="V141" i="3"/>
  <c r="V140" i="3"/>
  <c r="V139" i="3"/>
  <c r="V162" i="3"/>
  <c r="V160" i="3"/>
  <c r="V158" i="3"/>
  <c r="V156" i="3"/>
  <c r="V154" i="3"/>
  <c r="V108" i="4"/>
  <c r="V107" i="4"/>
  <c r="V106" i="4"/>
  <c r="V105" i="4"/>
  <c r="V104" i="4"/>
  <c r="V103" i="4"/>
  <c r="V102" i="4"/>
  <c r="V101" i="4"/>
  <c r="V100" i="4"/>
  <c r="V99" i="4"/>
  <c r="V98" i="4"/>
  <c r="V97" i="4"/>
  <c r="V96" i="4"/>
  <c r="V95" i="4"/>
  <c r="V94" i="4"/>
  <c r="V93" i="4"/>
  <c r="V92" i="4"/>
  <c r="V91" i="4"/>
  <c r="V90" i="4"/>
  <c r="V89" i="4"/>
  <c r="V88" i="4"/>
  <c r="V87" i="4"/>
  <c r="V86" i="4"/>
  <c r="V85" i="4"/>
  <c r="V135" i="3"/>
  <c r="V134" i="3"/>
  <c r="V133" i="3"/>
  <c r="V132" i="3"/>
  <c r="V131" i="3"/>
  <c r="V130" i="3"/>
  <c r="V129" i="3"/>
  <c r="V128" i="3"/>
  <c r="V127" i="3"/>
  <c r="V126" i="3"/>
  <c r="V125" i="3"/>
  <c r="V124" i="3"/>
  <c r="V123" i="3"/>
  <c r="V122" i="3"/>
  <c r="V121" i="3"/>
  <c r="V120" i="3"/>
  <c r="V119" i="3"/>
  <c r="V118" i="3"/>
  <c r="V117" i="3"/>
  <c r="V116" i="3"/>
  <c r="V115" i="3"/>
  <c r="V114" i="3"/>
  <c r="V113" i="3"/>
  <c r="V112" i="3"/>
  <c r="V107" i="3"/>
  <c r="V105" i="3"/>
  <c r="V103" i="3"/>
  <c r="V101" i="3"/>
  <c r="V99" i="3"/>
  <c r="V98" i="3"/>
  <c r="V97" i="3"/>
  <c r="V96" i="3"/>
  <c r="V95" i="3"/>
  <c r="V94" i="3"/>
  <c r="V93" i="3"/>
  <c r="V92" i="3"/>
  <c r="V91" i="3"/>
  <c r="V90" i="3"/>
  <c r="V89" i="3"/>
  <c r="V88" i="3"/>
  <c r="V87" i="3"/>
  <c r="V86" i="3"/>
  <c r="V85" i="3"/>
  <c r="V81" i="3"/>
  <c r="V108" i="3"/>
  <c r="V106" i="3"/>
  <c r="V104" i="3"/>
  <c r="V102" i="3"/>
  <c r="V100" i="3"/>
  <c r="V69" i="3"/>
  <c r="V68" i="3"/>
  <c r="V67" i="3"/>
  <c r="V66" i="3"/>
  <c r="V65" i="3"/>
  <c r="V64" i="3"/>
  <c r="V63" i="3"/>
  <c r="V62" i="3"/>
  <c r="V61" i="3"/>
  <c r="V60" i="3"/>
  <c r="V59" i="3"/>
  <c r="V58" i="3"/>
  <c r="V80" i="3"/>
  <c r="V79" i="3"/>
  <c r="V78" i="3"/>
  <c r="V77" i="3"/>
  <c r="V76" i="3"/>
  <c r="V75" i="3"/>
  <c r="V74" i="3"/>
  <c r="V73" i="3"/>
  <c r="V72" i="3"/>
  <c r="V71" i="3"/>
  <c r="V70" i="3"/>
  <c r="V5" i="3"/>
  <c r="V6" i="3"/>
  <c r="V7" i="3"/>
  <c r="V8" i="3"/>
  <c r="V9" i="3"/>
  <c r="V10" i="3"/>
  <c r="V11" i="3"/>
  <c r="V12" i="3"/>
  <c r="V13" i="3"/>
  <c r="V14" i="3"/>
  <c r="V15" i="3"/>
  <c r="V16" i="3"/>
  <c r="V17" i="3"/>
  <c r="V18" i="3"/>
  <c r="V19" i="3"/>
  <c r="V54" i="4"/>
  <c r="V53" i="4"/>
  <c r="V52" i="4"/>
  <c r="V51" i="4"/>
  <c r="V50" i="4"/>
  <c r="V49" i="4"/>
  <c r="V48" i="4"/>
  <c r="V47" i="4"/>
  <c r="V46" i="4"/>
  <c r="V45" i="4"/>
  <c r="V44" i="4"/>
  <c r="V43" i="4"/>
  <c r="V42" i="4"/>
  <c r="V41" i="4"/>
  <c r="V40" i="4"/>
  <c r="V39" i="4"/>
  <c r="V38" i="4"/>
  <c r="V37" i="4"/>
  <c r="V36" i="4"/>
  <c r="V35" i="4"/>
  <c r="V34" i="4"/>
  <c r="V33" i="4"/>
  <c r="V32" i="4"/>
  <c r="V31" i="4"/>
  <c r="V54" i="3"/>
  <c r="V53" i="3"/>
  <c r="V52" i="3"/>
  <c r="V51" i="3"/>
  <c r="V50" i="3"/>
  <c r="V49" i="3"/>
  <c r="V48" i="3"/>
  <c r="V47" i="3"/>
  <c r="V46" i="3"/>
  <c r="V45" i="3"/>
  <c r="V44" i="3"/>
  <c r="V43" i="3"/>
  <c r="V42" i="3"/>
  <c r="V41" i="3"/>
  <c r="V40" i="3"/>
  <c r="V39" i="3"/>
  <c r="V38" i="3"/>
  <c r="V37" i="3"/>
  <c r="V36" i="3"/>
  <c r="V35" i="3"/>
  <c r="V34" i="3"/>
  <c r="V33" i="3"/>
  <c r="V32" i="3"/>
  <c r="V31" i="3"/>
  <c r="S215" i="3"/>
  <c r="S213" i="3"/>
  <c r="S211" i="3"/>
  <c r="S209" i="3"/>
  <c r="S207" i="3"/>
  <c r="S205" i="3"/>
  <c r="S203" i="3"/>
  <c r="S201" i="3"/>
  <c r="S199" i="3"/>
  <c r="S197" i="3"/>
  <c r="S195" i="3"/>
  <c r="S193" i="3"/>
  <c r="S188" i="3"/>
  <c r="S186" i="3"/>
  <c r="S185" i="3"/>
  <c r="S184" i="3"/>
  <c r="S183" i="3"/>
  <c r="S182" i="3"/>
  <c r="S181" i="3"/>
  <c r="S180" i="3"/>
  <c r="S179" i="3"/>
  <c r="S178" i="3"/>
  <c r="S177" i="3"/>
  <c r="S176" i="3"/>
  <c r="S175" i="3"/>
  <c r="S174" i="3"/>
  <c r="S173" i="3"/>
  <c r="S216" i="3"/>
  <c r="S214" i="3"/>
  <c r="S212" i="3"/>
  <c r="S210" i="3"/>
  <c r="S208" i="3"/>
  <c r="S206" i="3"/>
  <c r="S204" i="3"/>
  <c r="S202" i="3"/>
  <c r="S200" i="3"/>
  <c r="S198" i="3"/>
  <c r="S196" i="3"/>
  <c r="S194" i="3"/>
  <c r="S189" i="3"/>
  <c r="S187" i="3"/>
  <c r="S172" i="3"/>
  <c r="S171" i="3"/>
  <c r="S170" i="3"/>
  <c r="S169" i="3"/>
  <c r="S168" i="3"/>
  <c r="S167" i="3"/>
  <c r="S166" i="3"/>
  <c r="S135" i="4"/>
  <c r="S134" i="4"/>
  <c r="S133" i="4"/>
  <c r="S132" i="4"/>
  <c r="S131" i="4"/>
  <c r="S130" i="4"/>
  <c r="S129" i="4"/>
  <c r="S128" i="4"/>
  <c r="S127" i="4"/>
  <c r="S126" i="4"/>
  <c r="S125" i="4"/>
  <c r="S124" i="4"/>
  <c r="S123" i="4"/>
  <c r="S122" i="4"/>
  <c r="S121" i="4"/>
  <c r="S120" i="4"/>
  <c r="S119" i="4"/>
  <c r="S118" i="4"/>
  <c r="S117" i="4"/>
  <c r="S116" i="4"/>
  <c r="S115" i="4"/>
  <c r="S114" i="4"/>
  <c r="S113" i="4"/>
  <c r="S112" i="4"/>
  <c r="S162" i="3"/>
  <c r="S161" i="3"/>
  <c r="S160" i="3"/>
  <c r="S159" i="3"/>
  <c r="S158" i="3"/>
  <c r="S157" i="3"/>
  <c r="S156" i="3"/>
  <c r="S155" i="3"/>
  <c r="S154" i="3"/>
  <c r="S153" i="3"/>
  <c r="S152" i="3"/>
  <c r="S151" i="3"/>
  <c r="S150" i="3"/>
  <c r="S149" i="3"/>
  <c r="S148" i="3"/>
  <c r="S147" i="3"/>
  <c r="S146" i="3"/>
  <c r="S145" i="3"/>
  <c r="S144" i="3"/>
  <c r="S143" i="3"/>
  <c r="S142" i="3"/>
  <c r="S141" i="3"/>
  <c r="S140" i="3"/>
  <c r="S139" i="3"/>
  <c r="S108" i="4"/>
  <c r="S107" i="4"/>
  <c r="S106" i="4"/>
  <c r="S105" i="4"/>
  <c r="S104" i="4"/>
  <c r="S103" i="4"/>
  <c r="S102" i="4"/>
  <c r="S101" i="4"/>
  <c r="S100" i="4"/>
  <c r="S99" i="4"/>
  <c r="S98" i="4"/>
  <c r="S97" i="4"/>
  <c r="S96" i="4"/>
  <c r="S135" i="3"/>
  <c r="S134" i="3"/>
  <c r="S133" i="3"/>
  <c r="S132" i="3"/>
  <c r="S131" i="3"/>
  <c r="S130" i="3"/>
  <c r="S129" i="3"/>
  <c r="S128" i="3"/>
  <c r="S127" i="3"/>
  <c r="S126" i="3"/>
  <c r="S125" i="3"/>
  <c r="S124" i="3"/>
  <c r="S123" i="3"/>
  <c r="S122" i="3"/>
  <c r="S121" i="3"/>
  <c r="S120" i="3"/>
  <c r="S119" i="3"/>
  <c r="S118" i="3"/>
  <c r="S117" i="3"/>
  <c r="S116" i="3"/>
  <c r="S115" i="3"/>
  <c r="S114" i="3"/>
  <c r="S94" i="4"/>
  <c r="S92" i="4"/>
  <c r="S90" i="4"/>
  <c r="S88" i="4"/>
  <c r="S86" i="4"/>
  <c r="S95" i="4"/>
  <c r="S93" i="4"/>
  <c r="S91" i="4"/>
  <c r="S89" i="4"/>
  <c r="S87" i="4"/>
  <c r="S85" i="4"/>
  <c r="S108" i="3"/>
  <c r="S107" i="3"/>
  <c r="S106" i="3"/>
  <c r="S105" i="3"/>
  <c r="S104" i="3"/>
  <c r="S103" i="3"/>
  <c r="S102" i="3"/>
  <c r="S101" i="3"/>
  <c r="S100" i="3"/>
  <c r="S113" i="3"/>
  <c r="S70" i="3"/>
  <c r="S69" i="3"/>
  <c r="S68" i="3"/>
  <c r="S67" i="3"/>
  <c r="S66" i="3"/>
  <c r="S65" i="3"/>
  <c r="S64" i="3"/>
  <c r="S63" i="3"/>
  <c r="S62" i="3"/>
  <c r="S61" i="3"/>
  <c r="S60" i="3"/>
  <c r="S59" i="3"/>
  <c r="S58" i="3"/>
  <c r="S112" i="3"/>
  <c r="S80" i="3"/>
  <c r="S79" i="3"/>
  <c r="S78" i="3"/>
  <c r="S77" i="3"/>
  <c r="S76" i="3"/>
  <c r="S75" i="3"/>
  <c r="S74" i="3"/>
  <c r="S73" i="3"/>
  <c r="S72" i="3"/>
  <c r="S71" i="3"/>
  <c r="S99" i="3"/>
  <c r="S98" i="3"/>
  <c r="S97" i="3"/>
  <c r="S96" i="3"/>
  <c r="S95" i="3"/>
  <c r="S94" i="3"/>
  <c r="S93" i="3"/>
  <c r="S92" i="3"/>
  <c r="S91" i="3"/>
  <c r="S90" i="3"/>
  <c r="S89" i="3"/>
  <c r="S88" i="3"/>
  <c r="S87" i="3"/>
  <c r="S86" i="3"/>
  <c r="S85" i="3"/>
  <c r="S81" i="3"/>
  <c r="S54" i="4"/>
  <c r="S53" i="4"/>
  <c r="S52" i="4"/>
  <c r="S51" i="4"/>
  <c r="S50" i="4"/>
  <c r="S49" i="4"/>
  <c r="S48" i="4"/>
  <c r="S47" i="4"/>
  <c r="S46" i="4"/>
  <c r="S45" i="4"/>
  <c r="S44" i="4"/>
  <c r="S43" i="4"/>
  <c r="S42" i="4"/>
  <c r="S41" i="4"/>
  <c r="S40" i="4"/>
  <c r="S39" i="4"/>
  <c r="S38" i="4"/>
  <c r="S37" i="4"/>
  <c r="S36" i="4"/>
  <c r="S35" i="4"/>
  <c r="S34" i="4"/>
  <c r="S33" i="4"/>
  <c r="S32" i="4"/>
  <c r="S31" i="4"/>
  <c r="S54" i="3"/>
  <c r="S53" i="3"/>
  <c r="S52" i="3"/>
  <c r="S51" i="3"/>
  <c r="S50" i="3"/>
  <c r="S49" i="3"/>
  <c r="S48" i="3"/>
  <c r="S47" i="3"/>
  <c r="S46" i="3"/>
  <c r="S45" i="3"/>
  <c r="S44" i="3"/>
  <c r="S43" i="3"/>
  <c r="S42" i="3"/>
  <c r="S41" i="3"/>
  <c r="S40" i="3"/>
  <c r="S39" i="3"/>
  <c r="S38" i="3"/>
  <c r="S37" i="3"/>
  <c r="S36" i="3"/>
  <c r="S35" i="3"/>
  <c r="S34" i="3"/>
  <c r="S33" i="3"/>
  <c r="S32" i="3"/>
  <c r="S31" i="3"/>
  <c r="S5" i="3"/>
  <c r="S6" i="3"/>
  <c r="S7" i="3"/>
  <c r="Y216" i="3"/>
  <c r="Y215" i="3"/>
  <c r="Y214" i="3"/>
  <c r="Y213" i="3"/>
  <c r="Y212" i="3"/>
  <c r="Y211" i="3"/>
  <c r="Y210" i="3"/>
  <c r="Y209" i="3"/>
  <c r="Y208" i="3"/>
  <c r="Y207" i="3"/>
  <c r="Y206" i="3"/>
  <c r="Y205" i="3"/>
  <c r="Y204" i="3"/>
  <c r="Y203" i="3"/>
  <c r="Y202" i="3"/>
  <c r="Y201" i="3"/>
  <c r="Y200" i="3"/>
  <c r="Y199" i="3"/>
  <c r="Y198" i="3"/>
  <c r="Y197" i="3"/>
  <c r="Y196" i="3"/>
  <c r="Y195" i="3"/>
  <c r="Y194" i="3"/>
  <c r="Y193" i="3"/>
  <c r="Y189" i="3"/>
  <c r="Y188" i="3"/>
  <c r="Y187" i="3"/>
  <c r="Y186" i="3"/>
  <c r="Y185" i="3"/>
  <c r="Y184" i="3"/>
  <c r="Y180" i="3"/>
  <c r="Y176" i="3"/>
  <c r="Y170" i="3"/>
  <c r="Y169" i="3"/>
  <c r="Y168" i="3"/>
  <c r="Y167" i="3"/>
  <c r="Y166" i="3"/>
  <c r="Y181" i="3"/>
  <c r="Y177" i="3"/>
  <c r="Y173" i="3"/>
  <c r="Y172" i="3"/>
  <c r="Y183" i="3"/>
  <c r="Y179" i="3"/>
  <c r="Y175" i="3"/>
  <c r="Y171" i="3"/>
  <c r="Y182" i="3"/>
  <c r="Y178" i="3"/>
  <c r="Y174" i="3"/>
  <c r="Y80" i="3"/>
  <c r="Y26" i="3"/>
  <c r="Y135" i="4"/>
  <c r="Y134" i="4"/>
  <c r="Y133" i="4"/>
  <c r="Y132" i="4"/>
  <c r="Y131" i="4"/>
  <c r="Y130" i="4"/>
  <c r="Y129" i="4"/>
  <c r="Y128" i="4"/>
  <c r="Y127" i="4"/>
  <c r="Y126" i="4"/>
  <c r="Y125" i="4"/>
  <c r="Y124" i="4"/>
  <c r="Y123" i="4"/>
  <c r="Y122" i="4"/>
  <c r="Y121" i="4"/>
  <c r="Y120" i="4"/>
  <c r="Y119" i="4"/>
  <c r="Y118" i="4"/>
  <c r="Y117" i="4"/>
  <c r="Y116" i="4"/>
  <c r="Y115" i="4"/>
  <c r="Y114" i="4"/>
  <c r="Y113" i="4"/>
  <c r="Y112" i="4"/>
  <c r="Y162" i="3"/>
  <c r="Y161" i="3"/>
  <c r="Y160" i="3"/>
  <c r="Y159" i="3"/>
  <c r="Y158" i="3"/>
  <c r="Y157" i="3"/>
  <c r="Y156" i="3"/>
  <c r="Y155" i="3"/>
  <c r="Y154" i="3"/>
  <c r="Y108" i="4"/>
  <c r="Y107" i="4"/>
  <c r="Y106" i="4"/>
  <c r="Y105" i="4"/>
  <c r="Y104" i="4"/>
  <c r="Y103" i="4"/>
  <c r="Y102" i="4"/>
  <c r="Y101" i="4"/>
  <c r="Y100" i="4"/>
  <c r="Y99" i="4"/>
  <c r="Y98" i="4"/>
  <c r="Y97" i="4"/>
  <c r="Y96" i="4"/>
  <c r="Y95" i="4"/>
  <c r="Y153" i="3"/>
  <c r="Y152" i="3"/>
  <c r="Y151" i="3"/>
  <c r="Y150" i="3"/>
  <c r="Y149" i="3"/>
  <c r="Y148" i="3"/>
  <c r="Y147" i="3"/>
  <c r="Y146" i="3"/>
  <c r="Y145" i="3"/>
  <c r="Y144" i="3"/>
  <c r="Y143" i="3"/>
  <c r="Y142" i="3"/>
  <c r="Y141" i="3"/>
  <c r="Y140" i="3"/>
  <c r="Y139" i="3"/>
  <c r="Y93" i="4"/>
  <c r="Y91" i="4"/>
  <c r="Y89" i="4"/>
  <c r="Y87" i="4"/>
  <c r="Y85" i="4"/>
  <c r="Y108" i="3"/>
  <c r="Y107" i="3"/>
  <c r="Y106" i="3"/>
  <c r="Y105" i="3"/>
  <c r="Y104" i="3"/>
  <c r="Y103" i="3"/>
  <c r="Y102" i="3"/>
  <c r="Y101" i="3"/>
  <c r="Y100" i="3"/>
  <c r="Y94" i="4"/>
  <c r="Y92" i="4"/>
  <c r="Y90" i="4"/>
  <c r="Y88" i="4"/>
  <c r="Y86" i="4"/>
  <c r="Y135" i="3"/>
  <c r="Y134" i="3"/>
  <c r="Y133" i="3"/>
  <c r="Y132" i="3"/>
  <c r="Y131" i="3"/>
  <c r="Y130" i="3"/>
  <c r="Y129" i="3"/>
  <c r="Y128" i="3"/>
  <c r="Y127" i="3"/>
  <c r="Y126" i="3"/>
  <c r="Y125" i="3"/>
  <c r="Y124" i="3"/>
  <c r="Y123" i="3"/>
  <c r="Y122" i="3"/>
  <c r="Y121" i="3"/>
  <c r="Y120" i="3"/>
  <c r="Y119" i="3"/>
  <c r="Y118" i="3"/>
  <c r="Y117" i="3"/>
  <c r="Y116" i="3"/>
  <c r="Y115" i="3"/>
  <c r="Y114" i="3"/>
  <c r="Y113" i="3"/>
  <c r="Y79" i="3"/>
  <c r="Y78" i="3"/>
  <c r="Y77" i="3"/>
  <c r="Y76" i="3"/>
  <c r="Y75" i="3"/>
  <c r="Y74" i="3"/>
  <c r="Y73" i="3"/>
  <c r="Y72" i="3"/>
  <c r="Y71" i="3"/>
  <c r="Y70" i="3"/>
  <c r="Y99" i="3"/>
  <c r="Y98" i="3"/>
  <c r="Y97" i="3"/>
  <c r="Y96" i="3"/>
  <c r="Y95" i="3"/>
  <c r="Y94" i="3"/>
  <c r="Y93" i="3"/>
  <c r="Y92" i="3"/>
  <c r="Y91" i="3"/>
  <c r="Y90" i="3"/>
  <c r="Y89" i="3"/>
  <c r="Y88" i="3"/>
  <c r="Y87" i="3"/>
  <c r="Y86" i="3"/>
  <c r="Y85" i="3"/>
  <c r="Y81" i="3"/>
  <c r="Y112" i="3"/>
  <c r="Y69" i="3"/>
  <c r="Y68" i="3"/>
  <c r="Y67" i="3"/>
  <c r="Y66" i="3"/>
  <c r="Y65" i="3"/>
  <c r="Y64" i="3"/>
  <c r="Y63" i="3"/>
  <c r="Y62" i="3"/>
  <c r="Y61" i="3"/>
  <c r="Y60" i="3"/>
  <c r="Y59" i="3"/>
  <c r="Y58" i="3"/>
  <c r="Y5" i="3"/>
  <c r="Y6" i="3"/>
  <c r="Y54" i="4"/>
  <c r="Y53" i="4"/>
  <c r="Y52" i="4"/>
  <c r="Y51" i="4"/>
  <c r="Y50" i="4"/>
  <c r="Y49" i="4"/>
  <c r="Y48" i="4"/>
  <c r="Y47" i="4"/>
  <c r="Y46" i="4"/>
  <c r="Y45" i="4"/>
  <c r="Y44" i="4"/>
  <c r="Y43" i="4"/>
  <c r="Y42" i="4"/>
  <c r="Y41" i="4"/>
  <c r="Y40" i="4"/>
  <c r="Y39" i="4"/>
  <c r="Y38" i="4"/>
  <c r="Y37" i="4"/>
  <c r="Y36" i="4"/>
  <c r="Y35" i="4"/>
  <c r="Y34" i="4"/>
  <c r="Y33" i="4"/>
  <c r="Y32" i="4"/>
  <c r="Y31" i="4"/>
  <c r="Y54" i="3"/>
  <c r="Y53" i="3"/>
  <c r="Y52" i="3"/>
  <c r="Y51" i="3"/>
  <c r="Y50" i="3"/>
  <c r="Y49" i="3"/>
  <c r="Y48" i="3"/>
  <c r="Y47" i="3"/>
  <c r="Y46" i="3"/>
  <c r="Y45" i="3"/>
  <c r="Y44" i="3"/>
  <c r="Y43" i="3"/>
  <c r="Y42" i="3"/>
  <c r="Y41" i="3"/>
  <c r="Y40" i="3"/>
  <c r="Y39" i="3"/>
  <c r="Y38" i="3"/>
  <c r="Y37" i="3"/>
  <c r="Y36" i="3"/>
  <c r="Y35" i="3"/>
  <c r="Y34" i="3"/>
  <c r="Y33" i="3"/>
  <c r="Y32" i="3"/>
  <c r="Y31" i="3"/>
  <c r="W162" i="4"/>
  <c r="W161" i="4"/>
  <c r="W160" i="4"/>
  <c r="W159" i="4"/>
  <c r="W158" i="4"/>
  <c r="W157" i="4"/>
  <c r="W156" i="4"/>
  <c r="W155" i="4"/>
  <c r="W154" i="4"/>
  <c r="W153" i="4"/>
  <c r="W152" i="4"/>
  <c r="W151" i="4"/>
  <c r="W150" i="4"/>
  <c r="W149" i="4"/>
  <c r="W148" i="4"/>
  <c r="W147" i="4"/>
  <c r="W146" i="4"/>
  <c r="W145" i="4"/>
  <c r="W144" i="4"/>
  <c r="W143" i="4"/>
  <c r="W142" i="4"/>
  <c r="W141" i="4"/>
  <c r="W140" i="4"/>
  <c r="W139" i="4"/>
  <c r="W80" i="4"/>
  <c r="W79" i="4"/>
  <c r="W78" i="4"/>
  <c r="W77" i="4"/>
  <c r="W76" i="4"/>
  <c r="W75" i="4"/>
  <c r="W74" i="4"/>
  <c r="W73" i="4"/>
  <c r="W72" i="4"/>
  <c r="W71" i="4"/>
  <c r="W70" i="4"/>
  <c r="W69" i="4"/>
  <c r="W68" i="4"/>
  <c r="W67" i="4"/>
  <c r="W66" i="4"/>
  <c r="W65" i="4"/>
  <c r="W64" i="4"/>
  <c r="W63" i="4"/>
  <c r="W62" i="4"/>
  <c r="W61" i="4"/>
  <c r="W60" i="4"/>
  <c r="W59" i="4"/>
  <c r="W58" i="4"/>
  <c r="W81" i="4"/>
  <c r="W5" i="4"/>
  <c r="W6" i="4"/>
  <c r="W7" i="4"/>
  <c r="W8" i="4"/>
  <c r="W9" i="4"/>
  <c r="W10" i="4"/>
  <c r="W11" i="4"/>
  <c r="W12" i="4"/>
  <c r="W13" i="4"/>
  <c r="W14" i="4"/>
  <c r="W15" i="4"/>
  <c r="W16" i="4"/>
  <c r="W17" i="4"/>
  <c r="W19" i="4"/>
  <c r="W21" i="4"/>
  <c r="W23" i="4"/>
  <c r="W25" i="4"/>
  <c r="W27" i="4"/>
  <c r="W4" i="4"/>
  <c r="W18" i="4"/>
  <c r="W20" i="4"/>
  <c r="W22" i="4"/>
  <c r="W24" i="4"/>
  <c r="W26" i="4"/>
  <c r="O162" i="4"/>
  <c r="O161" i="4"/>
  <c r="O160" i="4"/>
  <c r="O158" i="4"/>
  <c r="O157" i="4"/>
  <c r="O156" i="4"/>
  <c r="O155" i="4"/>
  <c r="O154" i="4"/>
  <c r="O153" i="4"/>
  <c r="O152" i="4"/>
  <c r="O151" i="4"/>
  <c r="O150" i="4"/>
  <c r="O149" i="4"/>
  <c r="O148" i="4"/>
  <c r="O147" i="4"/>
  <c r="O146" i="4"/>
  <c r="O145" i="4"/>
  <c r="O144" i="4"/>
  <c r="O143" i="4"/>
  <c r="O142" i="4"/>
  <c r="O141" i="4"/>
  <c r="O140" i="4"/>
  <c r="O139" i="4"/>
  <c r="O159" i="4"/>
  <c r="O80" i="4"/>
  <c r="O79" i="4"/>
  <c r="O78" i="4"/>
  <c r="O77" i="4"/>
  <c r="O76" i="4"/>
  <c r="O75" i="4"/>
  <c r="O74" i="4"/>
  <c r="O73" i="4"/>
  <c r="O72" i="4"/>
  <c r="O71" i="4"/>
  <c r="O70" i="4"/>
  <c r="O69" i="4"/>
  <c r="O68" i="4"/>
  <c r="O67" i="4"/>
  <c r="O66" i="4"/>
  <c r="O65" i="4"/>
  <c r="O64" i="4"/>
  <c r="O63" i="4"/>
  <c r="O62" i="4"/>
  <c r="O61" i="4"/>
  <c r="O60" i="4"/>
  <c r="O59" i="4"/>
  <c r="O58" i="4"/>
  <c r="O81" i="4"/>
  <c r="O5" i="4"/>
  <c r="O6" i="4"/>
  <c r="O7" i="4"/>
  <c r="O8" i="4"/>
  <c r="O9" i="4"/>
  <c r="O10" i="4"/>
  <c r="O11" i="4"/>
  <c r="O12" i="4"/>
  <c r="O13" i="4"/>
  <c r="O14" i="4"/>
  <c r="O15" i="4"/>
  <c r="O16" i="4"/>
  <c r="O17" i="4"/>
  <c r="O19" i="4"/>
  <c r="O21" i="4"/>
  <c r="O23" i="4"/>
  <c r="O25" i="4"/>
  <c r="O27" i="4"/>
  <c r="O4" i="4"/>
  <c r="O18" i="4"/>
  <c r="O20" i="4"/>
  <c r="O22" i="4"/>
  <c r="O24" i="4"/>
  <c r="O26" i="4"/>
  <c r="V4" i="3"/>
  <c r="V26" i="3"/>
  <c r="Z25" i="3"/>
  <c r="V25" i="3"/>
  <c r="Z24" i="3"/>
  <c r="V24" i="3"/>
  <c r="Z23" i="3"/>
  <c r="Z22" i="3"/>
  <c r="V21" i="3"/>
  <c r="Z20" i="3"/>
  <c r="U19" i="3"/>
  <c r="Y18" i="3"/>
  <c r="O216" i="3"/>
  <c r="O214" i="3"/>
  <c r="O212" i="3"/>
  <c r="O210" i="3"/>
  <c r="O208" i="3"/>
  <c r="O206" i="3"/>
  <c r="O204" i="3"/>
  <c r="O202" i="3"/>
  <c r="O200" i="3"/>
  <c r="O198" i="3"/>
  <c r="O196" i="3"/>
  <c r="O194" i="3"/>
  <c r="O189" i="3"/>
  <c r="O187" i="3"/>
  <c r="O185" i="3"/>
  <c r="O184" i="3"/>
  <c r="O183" i="3"/>
  <c r="O182" i="3"/>
  <c r="O181" i="3"/>
  <c r="O180" i="3"/>
  <c r="O179" i="3"/>
  <c r="O178" i="3"/>
  <c r="O177" i="3"/>
  <c r="O176" i="3"/>
  <c r="O175" i="3"/>
  <c r="O174" i="3"/>
  <c r="O215" i="3"/>
  <c r="O213" i="3"/>
  <c r="O211" i="3"/>
  <c r="O209" i="3"/>
  <c r="O207" i="3"/>
  <c r="O205" i="3"/>
  <c r="O203" i="3"/>
  <c r="O201" i="3"/>
  <c r="O199" i="3"/>
  <c r="O197" i="3"/>
  <c r="O195" i="3"/>
  <c r="O193" i="3"/>
  <c r="O188" i="3"/>
  <c r="O186" i="3"/>
  <c r="O173" i="3"/>
  <c r="O172" i="3"/>
  <c r="O171" i="3"/>
  <c r="O170" i="3"/>
  <c r="O169" i="3"/>
  <c r="O168" i="3"/>
  <c r="O167" i="3"/>
  <c r="O166" i="3"/>
  <c r="O135" i="4"/>
  <c r="O134" i="4"/>
  <c r="O133" i="4"/>
  <c r="O132" i="4"/>
  <c r="O131" i="4"/>
  <c r="O130" i="4"/>
  <c r="O129" i="4"/>
  <c r="O128" i="4"/>
  <c r="O127" i="4"/>
  <c r="O126" i="4"/>
  <c r="O125" i="4"/>
  <c r="O124" i="4"/>
  <c r="O123" i="4"/>
  <c r="O122" i="4"/>
  <c r="O121" i="4"/>
  <c r="O120" i="4"/>
  <c r="O119" i="4"/>
  <c r="O118" i="4"/>
  <c r="O117" i="4"/>
  <c r="O116" i="4"/>
  <c r="O115" i="4"/>
  <c r="O114" i="4"/>
  <c r="O113" i="4"/>
  <c r="O112" i="4"/>
  <c r="O162" i="3"/>
  <c r="O161" i="3"/>
  <c r="O160" i="3"/>
  <c r="O159" i="3"/>
  <c r="O158" i="3"/>
  <c r="O157" i="3"/>
  <c r="O156" i="3"/>
  <c r="O155" i="3"/>
  <c r="O154" i="3"/>
  <c r="O153" i="3"/>
  <c r="O152" i="3"/>
  <c r="O151" i="3"/>
  <c r="O150" i="3"/>
  <c r="O149" i="3"/>
  <c r="O148" i="3"/>
  <c r="O147" i="3"/>
  <c r="O146" i="3"/>
  <c r="O145" i="3"/>
  <c r="O144" i="3"/>
  <c r="O143" i="3"/>
  <c r="O142" i="3"/>
  <c r="O141" i="3"/>
  <c r="O140" i="3"/>
  <c r="O139" i="3"/>
  <c r="O112" i="3"/>
  <c r="O108" i="4"/>
  <c r="O107" i="4"/>
  <c r="O106" i="4"/>
  <c r="O105" i="4"/>
  <c r="O104" i="4"/>
  <c r="O103" i="4"/>
  <c r="O102" i="4"/>
  <c r="O101" i="4"/>
  <c r="O100" i="4"/>
  <c r="O99" i="4"/>
  <c r="O98" i="4"/>
  <c r="O97" i="4"/>
  <c r="O96" i="4"/>
  <c r="O135" i="3"/>
  <c r="O134" i="3"/>
  <c r="O133" i="3"/>
  <c r="O132" i="3"/>
  <c r="O131" i="3"/>
  <c r="O130" i="3"/>
  <c r="O129" i="3"/>
  <c r="O128" i="3"/>
  <c r="O127" i="3"/>
  <c r="O126" i="3"/>
  <c r="O125" i="3"/>
  <c r="O124" i="3"/>
  <c r="O123" i="3"/>
  <c r="O122" i="3"/>
  <c r="O121" i="3"/>
  <c r="O120" i="3"/>
  <c r="O119" i="3"/>
  <c r="O118" i="3"/>
  <c r="O117" i="3"/>
  <c r="O116" i="3"/>
  <c r="O115" i="3"/>
  <c r="O114" i="3"/>
  <c r="O95" i="4"/>
  <c r="O93" i="4"/>
  <c r="O91" i="4"/>
  <c r="O89" i="4"/>
  <c r="O87" i="4"/>
  <c r="O85" i="4"/>
  <c r="O94" i="4"/>
  <c r="O92" i="4"/>
  <c r="O90" i="4"/>
  <c r="O88" i="4"/>
  <c r="O86" i="4"/>
  <c r="O108" i="3"/>
  <c r="O107" i="3"/>
  <c r="O106" i="3"/>
  <c r="O105" i="3"/>
  <c r="O104" i="3"/>
  <c r="O103" i="3"/>
  <c r="O102" i="3"/>
  <c r="O101" i="3"/>
  <c r="O70" i="3"/>
  <c r="O69" i="3"/>
  <c r="O68" i="3"/>
  <c r="O67" i="3"/>
  <c r="O66" i="3"/>
  <c r="O65" i="3"/>
  <c r="O64" i="3"/>
  <c r="O63" i="3"/>
  <c r="O62" i="3"/>
  <c r="O61" i="3"/>
  <c r="O60" i="3"/>
  <c r="O59" i="3"/>
  <c r="O58" i="3"/>
  <c r="O113" i="3"/>
  <c r="O80" i="3"/>
  <c r="O79" i="3"/>
  <c r="O78" i="3"/>
  <c r="O77" i="3"/>
  <c r="O76" i="3"/>
  <c r="O75" i="3"/>
  <c r="O74" i="3"/>
  <c r="O73" i="3"/>
  <c r="O72" i="3"/>
  <c r="O71" i="3"/>
  <c r="O100" i="3"/>
  <c r="O99" i="3"/>
  <c r="O98" i="3"/>
  <c r="O97" i="3"/>
  <c r="O96" i="3"/>
  <c r="O95" i="3"/>
  <c r="O94" i="3"/>
  <c r="O93" i="3"/>
  <c r="O92" i="3"/>
  <c r="O91" i="3"/>
  <c r="O90" i="3"/>
  <c r="O89" i="3"/>
  <c r="O88" i="3"/>
  <c r="O87" i="3"/>
  <c r="O86" i="3"/>
  <c r="O85" i="3"/>
  <c r="O81" i="3"/>
  <c r="O54" i="4"/>
  <c r="O53" i="4"/>
  <c r="O52" i="4"/>
  <c r="O51" i="4"/>
  <c r="O50" i="4"/>
  <c r="O49" i="4"/>
  <c r="O48" i="4"/>
  <c r="O47" i="4"/>
  <c r="O46" i="4"/>
  <c r="O45" i="4"/>
  <c r="O44" i="4"/>
  <c r="O43" i="4"/>
  <c r="O42" i="4"/>
  <c r="O41" i="4"/>
  <c r="O40" i="4"/>
  <c r="O39" i="4"/>
  <c r="O38" i="4"/>
  <c r="O37" i="4"/>
  <c r="O36" i="4"/>
  <c r="O35" i="4"/>
  <c r="O34" i="4"/>
  <c r="O33" i="4"/>
  <c r="O32" i="4"/>
  <c r="O31" i="4"/>
  <c r="O54" i="3"/>
  <c r="O53" i="3"/>
  <c r="O52" i="3"/>
  <c r="O51" i="3"/>
  <c r="O50" i="3"/>
  <c r="O49" i="3"/>
  <c r="O48" i="3"/>
  <c r="O47" i="3"/>
  <c r="O46" i="3"/>
  <c r="O45" i="3"/>
  <c r="O44" i="3"/>
  <c r="O43" i="3"/>
  <c r="O42" i="3"/>
  <c r="O41" i="3"/>
  <c r="O40" i="3"/>
  <c r="O39" i="3"/>
  <c r="O38" i="3"/>
  <c r="O37" i="3"/>
  <c r="O36" i="3"/>
  <c r="O35" i="3"/>
  <c r="O34" i="3"/>
  <c r="O33" i="3"/>
  <c r="O32" i="3"/>
  <c r="O31" i="3"/>
  <c r="O5" i="3"/>
  <c r="O6" i="3"/>
  <c r="O7" i="3"/>
  <c r="Q216" i="3"/>
  <c r="Q215" i="3"/>
  <c r="Q214" i="3"/>
  <c r="Q213" i="3"/>
  <c r="Q212" i="3"/>
  <c r="Q211" i="3"/>
  <c r="Q210" i="3"/>
  <c r="Q209" i="3"/>
  <c r="Q208" i="3"/>
  <c r="Q207" i="3"/>
  <c r="Q206" i="3"/>
  <c r="Q205" i="3"/>
  <c r="Q204" i="3"/>
  <c r="Q203" i="3"/>
  <c r="Q202" i="3"/>
  <c r="Q201" i="3"/>
  <c r="Q200" i="3"/>
  <c r="Q199" i="3"/>
  <c r="Q198" i="3"/>
  <c r="Q197" i="3"/>
  <c r="Q196" i="3"/>
  <c r="Q195" i="3"/>
  <c r="Q194" i="3"/>
  <c r="Q193" i="3"/>
  <c r="Q189" i="3"/>
  <c r="Q188" i="3"/>
  <c r="Q187" i="3"/>
  <c r="Q186" i="3"/>
  <c r="Q182" i="3"/>
  <c r="Q178" i="3"/>
  <c r="Q174" i="3"/>
  <c r="Q171" i="3"/>
  <c r="Q170" i="3"/>
  <c r="Q169" i="3"/>
  <c r="Q168" i="3"/>
  <c r="Q167" i="3"/>
  <c r="Q166" i="3"/>
  <c r="Q183" i="3"/>
  <c r="Q179" i="3"/>
  <c r="Q175" i="3"/>
  <c r="Q172" i="3"/>
  <c r="Q185" i="3"/>
  <c r="Q181" i="3"/>
  <c r="Q177" i="3"/>
  <c r="Q173" i="3"/>
  <c r="Q184" i="3"/>
  <c r="Q180" i="3"/>
  <c r="Q176" i="3"/>
  <c r="Q135" i="4"/>
  <c r="Q134" i="4"/>
  <c r="Q133" i="4"/>
  <c r="Q132" i="4"/>
  <c r="Q131" i="4"/>
  <c r="Q130" i="4"/>
  <c r="Q129" i="4"/>
  <c r="Q128" i="4"/>
  <c r="Q127" i="4"/>
  <c r="Q126" i="4"/>
  <c r="Q125" i="4"/>
  <c r="Q124" i="4"/>
  <c r="Q123" i="4"/>
  <c r="Q122" i="4"/>
  <c r="Q121" i="4"/>
  <c r="Q120" i="4"/>
  <c r="Q119" i="4"/>
  <c r="Q118" i="4"/>
  <c r="Q117" i="4"/>
  <c r="Q116" i="4"/>
  <c r="Q115" i="4"/>
  <c r="Q114" i="4"/>
  <c r="Q113" i="4"/>
  <c r="Q112" i="4"/>
  <c r="Q162" i="3"/>
  <c r="Q161" i="3"/>
  <c r="Q160" i="3"/>
  <c r="Q159" i="3"/>
  <c r="Q158" i="3"/>
  <c r="Q157" i="3"/>
  <c r="Q156" i="3"/>
  <c r="Q155" i="3"/>
  <c r="Q108" i="4"/>
  <c r="Q107" i="4"/>
  <c r="Q106" i="4"/>
  <c r="Q105" i="4"/>
  <c r="Q104" i="4"/>
  <c r="Q103" i="4"/>
  <c r="Q102" i="4"/>
  <c r="Q101" i="4"/>
  <c r="Q100" i="4"/>
  <c r="Q99" i="4"/>
  <c r="Q98" i="4"/>
  <c r="Q97" i="4"/>
  <c r="Q96" i="4"/>
  <c r="Q154" i="3"/>
  <c r="Q153" i="3"/>
  <c r="Q152" i="3"/>
  <c r="Q151" i="3"/>
  <c r="Q150" i="3"/>
  <c r="Q149" i="3"/>
  <c r="Q148" i="3"/>
  <c r="Q147" i="3"/>
  <c r="Q146" i="3"/>
  <c r="Q145" i="3"/>
  <c r="Q144" i="3"/>
  <c r="Q143" i="3"/>
  <c r="Q142" i="3"/>
  <c r="Q141" i="3"/>
  <c r="Q140" i="3"/>
  <c r="Q139" i="3"/>
  <c r="Q95" i="4"/>
  <c r="Q93" i="4"/>
  <c r="Q91" i="4"/>
  <c r="Q89" i="4"/>
  <c r="Q87" i="4"/>
  <c r="Q85" i="4"/>
  <c r="Q108" i="3"/>
  <c r="Q107" i="3"/>
  <c r="Q106" i="3"/>
  <c r="Q105" i="3"/>
  <c r="Q104" i="3"/>
  <c r="Q103" i="3"/>
  <c r="Q102" i="3"/>
  <c r="Q101" i="3"/>
  <c r="Q94" i="4"/>
  <c r="Q92" i="4"/>
  <c r="Q90" i="4"/>
  <c r="Q88" i="4"/>
  <c r="Q86" i="4"/>
  <c r="Q135" i="3"/>
  <c r="Q134" i="3"/>
  <c r="Q133" i="3"/>
  <c r="Q132" i="3"/>
  <c r="Q131" i="3"/>
  <c r="Q130" i="3"/>
  <c r="Q129" i="3"/>
  <c r="Q128" i="3"/>
  <c r="Q127" i="3"/>
  <c r="Q126" i="3"/>
  <c r="Q125" i="3"/>
  <c r="Q124" i="3"/>
  <c r="Q123" i="3"/>
  <c r="Q122" i="3"/>
  <c r="Q121" i="3"/>
  <c r="Q120" i="3"/>
  <c r="Q119" i="3"/>
  <c r="Q118" i="3"/>
  <c r="Q117" i="3"/>
  <c r="Q116" i="3"/>
  <c r="Q115" i="3"/>
  <c r="Q114" i="3"/>
  <c r="Q80" i="3"/>
  <c r="Q79" i="3"/>
  <c r="Q78" i="3"/>
  <c r="Q77" i="3"/>
  <c r="Q76" i="3"/>
  <c r="Q75" i="3"/>
  <c r="Q74" i="3"/>
  <c r="Q73" i="3"/>
  <c r="Q72" i="3"/>
  <c r="Q71" i="3"/>
  <c r="Q113" i="3"/>
  <c r="Q100" i="3"/>
  <c r="Q99" i="3"/>
  <c r="Q98" i="3"/>
  <c r="Q97" i="3"/>
  <c r="Q96" i="3"/>
  <c r="Q95" i="3"/>
  <c r="Q94" i="3"/>
  <c r="Q93" i="3"/>
  <c r="Q92" i="3"/>
  <c r="Q91" i="3"/>
  <c r="Q90" i="3"/>
  <c r="Q89" i="3"/>
  <c r="Q88" i="3"/>
  <c r="Q87" i="3"/>
  <c r="Q86" i="3"/>
  <c r="Q85" i="3"/>
  <c r="Q81" i="3"/>
  <c r="Q112" i="3"/>
  <c r="Q70" i="3"/>
  <c r="Q69" i="3"/>
  <c r="Q68" i="3"/>
  <c r="Q67" i="3"/>
  <c r="Q66" i="3"/>
  <c r="Q65" i="3"/>
  <c r="Q64" i="3"/>
  <c r="Q63" i="3"/>
  <c r="Q62" i="3"/>
  <c r="Q61" i="3"/>
  <c r="Q60" i="3"/>
  <c r="Q59" i="3"/>
  <c r="Q58" i="3"/>
  <c r="Q5" i="3"/>
  <c r="Q6" i="3"/>
  <c r="Q7" i="3"/>
  <c r="Q54" i="4"/>
  <c r="Q53" i="4"/>
  <c r="Q52" i="4"/>
  <c r="Q51" i="4"/>
  <c r="Q50" i="4"/>
  <c r="Q49" i="4"/>
  <c r="Q48" i="4"/>
  <c r="Q47" i="4"/>
  <c r="Q46" i="4"/>
  <c r="Q45" i="4"/>
  <c r="Q44" i="4"/>
  <c r="Q43" i="4"/>
  <c r="Q42" i="4"/>
  <c r="Q41" i="4"/>
  <c r="Q40" i="4"/>
  <c r="Q39" i="4"/>
  <c r="Q38" i="4"/>
  <c r="Q37" i="4"/>
  <c r="Q36" i="4"/>
  <c r="Q35" i="4"/>
  <c r="Q34" i="4"/>
  <c r="Q33" i="4"/>
  <c r="Q32" i="4"/>
  <c r="Q31" i="4"/>
  <c r="Q54" i="3"/>
  <c r="Q53" i="3"/>
  <c r="Q52" i="3"/>
  <c r="Q51" i="3"/>
  <c r="Q50" i="3"/>
  <c r="Q49" i="3"/>
  <c r="Q48" i="3"/>
  <c r="Q47" i="3"/>
  <c r="Q46" i="3"/>
  <c r="Q45" i="3"/>
  <c r="Q44" i="3"/>
  <c r="Q43" i="3"/>
  <c r="Q42" i="3"/>
  <c r="Q41" i="3"/>
  <c r="Q40" i="3"/>
  <c r="Q39" i="3"/>
  <c r="Q38" i="3"/>
  <c r="Q37" i="3"/>
  <c r="Q36" i="3"/>
  <c r="Q35" i="3"/>
  <c r="Q34" i="3"/>
  <c r="Q33" i="3"/>
  <c r="Q32" i="3"/>
  <c r="Q31" i="3"/>
  <c r="T216" i="3"/>
  <c r="T215" i="3"/>
  <c r="T214" i="3"/>
  <c r="T213" i="3"/>
  <c r="T212" i="3"/>
  <c r="T211" i="3"/>
  <c r="T210" i="3"/>
  <c r="T209" i="3"/>
  <c r="T208" i="3"/>
  <c r="T207" i="3"/>
  <c r="T206" i="3"/>
  <c r="T205" i="3"/>
  <c r="T204" i="3"/>
  <c r="T203" i="3"/>
  <c r="T202" i="3"/>
  <c r="T201" i="3"/>
  <c r="T200" i="3"/>
  <c r="T199" i="3"/>
  <c r="T198" i="3"/>
  <c r="T197" i="3"/>
  <c r="T196" i="3"/>
  <c r="T195" i="3"/>
  <c r="T194" i="3"/>
  <c r="T193" i="3"/>
  <c r="T189" i="3"/>
  <c r="T188" i="3"/>
  <c r="T187" i="3"/>
  <c r="T186" i="3"/>
  <c r="T185" i="3"/>
  <c r="T184" i="3"/>
  <c r="T183" i="3"/>
  <c r="T182" i="3"/>
  <c r="T181" i="3"/>
  <c r="T180" i="3"/>
  <c r="T179" i="3"/>
  <c r="T178" i="3"/>
  <c r="T177" i="3"/>
  <c r="T176" i="3"/>
  <c r="T175" i="3"/>
  <c r="T174" i="3"/>
  <c r="T173" i="3"/>
  <c r="T172" i="3"/>
  <c r="T171" i="3"/>
  <c r="T170" i="3"/>
  <c r="T169" i="3"/>
  <c r="T168" i="3"/>
  <c r="T167" i="3"/>
  <c r="T166" i="3"/>
  <c r="T135" i="4"/>
  <c r="T134" i="4"/>
  <c r="T133" i="4"/>
  <c r="T132" i="4"/>
  <c r="T131" i="4"/>
  <c r="T130" i="4"/>
  <c r="T129" i="4"/>
  <c r="T128" i="4"/>
  <c r="T127" i="4"/>
  <c r="T126" i="4"/>
  <c r="T125" i="4"/>
  <c r="T124" i="4"/>
  <c r="T123" i="4"/>
  <c r="T122" i="4"/>
  <c r="T121" i="4"/>
  <c r="T120" i="4"/>
  <c r="T119" i="4"/>
  <c r="T118" i="4"/>
  <c r="T117" i="4"/>
  <c r="T116" i="4"/>
  <c r="T115" i="4"/>
  <c r="T114" i="4"/>
  <c r="T113" i="4"/>
  <c r="T112" i="4"/>
  <c r="T70" i="3"/>
  <c r="T161" i="3"/>
  <c r="T159" i="3"/>
  <c r="T157" i="3"/>
  <c r="T155" i="3"/>
  <c r="T108" i="4"/>
  <c r="T107" i="4"/>
  <c r="T106" i="4"/>
  <c r="T105" i="4"/>
  <c r="T104" i="4"/>
  <c r="T103" i="4"/>
  <c r="T102" i="4"/>
  <c r="T101" i="4"/>
  <c r="T100" i="4"/>
  <c r="T99" i="4"/>
  <c r="T98" i="4"/>
  <c r="T97" i="4"/>
  <c r="T96" i="4"/>
  <c r="T95" i="4"/>
  <c r="T94" i="4"/>
  <c r="T93" i="4"/>
  <c r="T92" i="4"/>
  <c r="T91" i="4"/>
  <c r="T90" i="4"/>
  <c r="T89" i="4"/>
  <c r="T88" i="4"/>
  <c r="T87" i="4"/>
  <c r="T86" i="4"/>
  <c r="T85" i="4"/>
  <c r="T162" i="3"/>
  <c r="T160" i="3"/>
  <c r="T158" i="3"/>
  <c r="T156" i="3"/>
  <c r="T154" i="3"/>
  <c r="T153" i="3"/>
  <c r="T152" i="3"/>
  <c r="T151" i="3"/>
  <c r="T150" i="3"/>
  <c r="T149" i="3"/>
  <c r="T148" i="3"/>
  <c r="T147" i="3"/>
  <c r="T146" i="3"/>
  <c r="T145" i="3"/>
  <c r="T144" i="3"/>
  <c r="T143" i="3"/>
  <c r="T142" i="3"/>
  <c r="T141" i="3"/>
  <c r="T140" i="3"/>
  <c r="T139" i="3"/>
  <c r="T135" i="3"/>
  <c r="T134" i="3"/>
  <c r="T133" i="3"/>
  <c r="T132" i="3"/>
  <c r="T131" i="3"/>
  <c r="T130" i="3"/>
  <c r="T129" i="3"/>
  <c r="T128" i="3"/>
  <c r="T127" i="3"/>
  <c r="T126" i="3"/>
  <c r="T125" i="3"/>
  <c r="T124" i="3"/>
  <c r="T123" i="3"/>
  <c r="T122" i="3"/>
  <c r="T121" i="3"/>
  <c r="T120" i="3"/>
  <c r="T119" i="3"/>
  <c r="T118" i="3"/>
  <c r="T117" i="3"/>
  <c r="T116" i="3"/>
  <c r="T115" i="3"/>
  <c r="T114" i="3"/>
  <c r="T113" i="3"/>
  <c r="T112" i="3"/>
  <c r="T69" i="3"/>
  <c r="T68" i="3"/>
  <c r="T67" i="3"/>
  <c r="T66" i="3"/>
  <c r="T65" i="3"/>
  <c r="T64" i="3"/>
  <c r="T63" i="3"/>
  <c r="T62" i="3"/>
  <c r="T61" i="3"/>
  <c r="T60" i="3"/>
  <c r="T59" i="3"/>
  <c r="T58" i="3"/>
  <c r="T107" i="3"/>
  <c r="T105" i="3"/>
  <c r="T103" i="3"/>
  <c r="T101" i="3"/>
  <c r="T80" i="3"/>
  <c r="T79" i="3"/>
  <c r="T78" i="3"/>
  <c r="T77" i="3"/>
  <c r="T76" i="3"/>
  <c r="T75" i="3"/>
  <c r="T74" i="3"/>
  <c r="T73" i="3"/>
  <c r="T72" i="3"/>
  <c r="T71" i="3"/>
  <c r="T99" i="3"/>
  <c r="T98" i="3"/>
  <c r="T97" i="3"/>
  <c r="T96" i="3"/>
  <c r="T95" i="3"/>
  <c r="T94" i="3"/>
  <c r="T93" i="3"/>
  <c r="T92" i="3"/>
  <c r="T91" i="3"/>
  <c r="T90" i="3"/>
  <c r="T89" i="3"/>
  <c r="T88" i="3"/>
  <c r="T87" i="3"/>
  <c r="T86" i="3"/>
  <c r="T85" i="3"/>
  <c r="T81" i="3"/>
  <c r="T108" i="3"/>
  <c r="T106" i="3"/>
  <c r="T104" i="3"/>
  <c r="T102" i="3"/>
  <c r="T100" i="3"/>
  <c r="T54" i="4"/>
  <c r="T53" i="4"/>
  <c r="T52" i="4"/>
  <c r="T51" i="4"/>
  <c r="T50" i="4"/>
  <c r="T49" i="4"/>
  <c r="T48" i="4"/>
  <c r="T47" i="4"/>
  <c r="T46" i="4"/>
  <c r="T45" i="4"/>
  <c r="T44" i="4"/>
  <c r="T43" i="4"/>
  <c r="T42" i="4"/>
  <c r="T41" i="4"/>
  <c r="T40" i="4"/>
  <c r="T39" i="4"/>
  <c r="T38" i="4"/>
  <c r="T37" i="4"/>
  <c r="T36" i="4"/>
  <c r="T35" i="4"/>
  <c r="T34" i="4"/>
  <c r="T33" i="4"/>
  <c r="T32" i="4"/>
  <c r="T31" i="4"/>
  <c r="T54" i="3"/>
  <c r="T53" i="3"/>
  <c r="T52" i="3"/>
  <c r="T51" i="3"/>
  <c r="T50" i="3"/>
  <c r="T49" i="3"/>
  <c r="T48" i="3"/>
  <c r="T47" i="3"/>
  <c r="T46" i="3"/>
  <c r="T45" i="3"/>
  <c r="T44" i="3"/>
  <c r="T43" i="3"/>
  <c r="T42" i="3"/>
  <c r="T41" i="3"/>
  <c r="T40" i="3"/>
  <c r="T39" i="3"/>
  <c r="T38" i="3"/>
  <c r="T37" i="3"/>
  <c r="T36" i="3"/>
  <c r="T35" i="3"/>
  <c r="T34" i="3"/>
  <c r="T33" i="3"/>
  <c r="T32" i="3"/>
  <c r="T31" i="3"/>
  <c r="T5" i="3"/>
  <c r="T6" i="3"/>
  <c r="T7" i="3"/>
  <c r="T8" i="3"/>
  <c r="T9" i="3"/>
  <c r="T10" i="3"/>
  <c r="T11" i="3"/>
  <c r="T12" i="3"/>
  <c r="T13" i="3"/>
  <c r="T14" i="3"/>
  <c r="T15" i="3"/>
  <c r="T16" i="3"/>
  <c r="T17" i="3"/>
  <c r="T18" i="3"/>
  <c r="T19" i="3"/>
  <c r="Z162" i="4"/>
  <c r="Z161" i="4"/>
  <c r="Z160" i="4"/>
  <c r="Z159" i="4"/>
  <c r="Z158" i="4"/>
  <c r="Z157" i="4"/>
  <c r="Z156" i="4"/>
  <c r="Z155" i="4"/>
  <c r="Z154" i="4"/>
  <c r="Z153" i="4"/>
  <c r="Z152" i="4"/>
  <c r="Z151" i="4"/>
  <c r="Z150" i="4"/>
  <c r="Z149" i="4"/>
  <c r="Z148" i="4"/>
  <c r="Z147" i="4"/>
  <c r="Z146" i="4"/>
  <c r="Z145" i="4"/>
  <c r="Z144" i="4"/>
  <c r="Z142" i="4"/>
  <c r="Z140" i="4"/>
  <c r="Z143" i="4"/>
  <c r="Z141" i="4"/>
  <c r="Z139" i="4"/>
  <c r="Z81" i="4"/>
  <c r="Z80" i="4"/>
  <c r="Z79" i="4"/>
  <c r="Z77" i="4"/>
  <c r="Z75" i="4"/>
  <c r="Z73" i="4"/>
  <c r="Z71" i="4"/>
  <c r="Z70" i="4"/>
  <c r="Z69" i="4"/>
  <c r="Z68" i="4"/>
  <c r="Z67" i="4"/>
  <c r="Z66" i="4"/>
  <c r="Z65" i="4"/>
  <c r="Z64" i="4"/>
  <c r="Z63" i="4"/>
  <c r="Z62" i="4"/>
  <c r="Z61" i="4"/>
  <c r="Z60" i="4"/>
  <c r="Z59" i="4"/>
  <c r="Z58" i="4"/>
  <c r="Z78" i="4"/>
  <c r="Z76" i="4"/>
  <c r="Z74" i="4"/>
  <c r="Z72" i="4"/>
  <c r="Z5" i="4"/>
  <c r="Z6" i="4"/>
  <c r="Z7" i="4"/>
  <c r="Z8" i="4"/>
  <c r="Z9" i="4"/>
  <c r="Z10" i="4"/>
  <c r="Z11" i="4"/>
  <c r="Z12" i="4"/>
  <c r="Z13" i="4"/>
  <c r="Z14" i="4"/>
  <c r="Z15" i="4"/>
  <c r="Z16" i="4"/>
  <c r="Z17" i="4"/>
  <c r="Z18" i="4"/>
  <c r="Z19" i="4"/>
  <c r="Z20" i="4"/>
  <c r="Z21" i="4"/>
  <c r="Z22" i="4"/>
  <c r="Z23" i="4"/>
  <c r="Z24" i="4"/>
  <c r="Z25" i="4"/>
  <c r="Z26" i="4"/>
  <c r="Z27" i="4"/>
  <c r="Z4" i="4"/>
  <c r="V162" i="4"/>
  <c r="V161" i="4"/>
  <c r="V160" i="4"/>
  <c r="V159" i="4"/>
  <c r="V158" i="4"/>
  <c r="V157" i="4"/>
  <c r="V156" i="4"/>
  <c r="V155" i="4"/>
  <c r="V154" i="4"/>
  <c r="V153" i="4"/>
  <c r="V152" i="4"/>
  <c r="V151" i="4"/>
  <c r="V150" i="4"/>
  <c r="V149" i="4"/>
  <c r="V148" i="4"/>
  <c r="V147" i="4"/>
  <c r="V146" i="4"/>
  <c r="V145" i="4"/>
  <c r="V143" i="4"/>
  <c r="V141" i="4"/>
  <c r="V139" i="4"/>
  <c r="V144" i="4"/>
  <c r="V142" i="4"/>
  <c r="V140" i="4"/>
  <c r="V81" i="4"/>
  <c r="V80" i="4"/>
  <c r="V78" i="4"/>
  <c r="V76" i="4"/>
  <c r="V74" i="4"/>
  <c r="V72" i="4"/>
  <c r="V71" i="4"/>
  <c r="V70" i="4"/>
  <c r="V69" i="4"/>
  <c r="V68" i="4"/>
  <c r="V67" i="4"/>
  <c r="V66" i="4"/>
  <c r="V65" i="4"/>
  <c r="V64" i="4"/>
  <c r="V63" i="4"/>
  <c r="V62" i="4"/>
  <c r="V61" i="4"/>
  <c r="V60" i="4"/>
  <c r="V59" i="4"/>
  <c r="V58" i="4"/>
  <c r="V79" i="4"/>
  <c r="V77" i="4"/>
  <c r="V75" i="4"/>
  <c r="V73" i="4"/>
  <c r="V5" i="4"/>
  <c r="V6" i="4"/>
  <c r="V7" i="4"/>
  <c r="V8" i="4"/>
  <c r="V9" i="4"/>
  <c r="V10" i="4"/>
  <c r="V11" i="4"/>
  <c r="V12" i="4"/>
  <c r="V13" i="4"/>
  <c r="V14" i="4"/>
  <c r="V15" i="4"/>
  <c r="V16" i="4"/>
  <c r="V17" i="4"/>
  <c r="V18" i="4"/>
  <c r="V19" i="4"/>
  <c r="V20" i="4"/>
  <c r="V21" i="4"/>
  <c r="V22" i="4"/>
  <c r="V23" i="4"/>
  <c r="V24" i="4"/>
  <c r="V25" i="4"/>
  <c r="V26" i="4"/>
  <c r="V27" i="4"/>
  <c r="V4" i="4"/>
  <c r="R162" i="4"/>
  <c r="R161" i="4"/>
  <c r="R160" i="4"/>
  <c r="R159" i="4"/>
  <c r="R158" i="4"/>
  <c r="R157" i="4"/>
  <c r="R156" i="4"/>
  <c r="R155" i="4"/>
  <c r="R154" i="4"/>
  <c r="R153" i="4"/>
  <c r="R152" i="4"/>
  <c r="R151" i="4"/>
  <c r="R150" i="4"/>
  <c r="R149" i="4"/>
  <c r="R148" i="4"/>
  <c r="R147" i="4"/>
  <c r="R146" i="4"/>
  <c r="R145" i="4"/>
  <c r="R144" i="4"/>
  <c r="R142" i="4"/>
  <c r="R140" i="4"/>
  <c r="R143" i="4"/>
  <c r="R141" i="4"/>
  <c r="R139" i="4"/>
  <c r="R81" i="4"/>
  <c r="R79" i="4"/>
  <c r="R77" i="4"/>
  <c r="R75" i="4"/>
  <c r="R73" i="4"/>
  <c r="R71" i="4"/>
  <c r="R70" i="4"/>
  <c r="R69" i="4"/>
  <c r="R68" i="4"/>
  <c r="R67" i="4"/>
  <c r="R66" i="4"/>
  <c r="R65" i="4"/>
  <c r="R64" i="4"/>
  <c r="R63" i="4"/>
  <c r="R62" i="4"/>
  <c r="R61" i="4"/>
  <c r="R60" i="4"/>
  <c r="R59" i="4"/>
  <c r="R58" i="4"/>
  <c r="R80" i="4"/>
  <c r="R78" i="4"/>
  <c r="R76" i="4"/>
  <c r="R74" i="4"/>
  <c r="R72" i="4"/>
  <c r="R5" i="4"/>
  <c r="R6" i="4"/>
  <c r="R7" i="4"/>
  <c r="R8" i="4"/>
  <c r="R9" i="4"/>
  <c r="R10" i="4"/>
  <c r="R11" i="4"/>
  <c r="R12" i="4"/>
  <c r="R13" i="4"/>
  <c r="R14" i="4"/>
  <c r="R15" i="4"/>
  <c r="R16" i="4"/>
  <c r="R17" i="4"/>
  <c r="R18" i="4"/>
  <c r="R19" i="4"/>
  <c r="R20" i="4"/>
  <c r="R21" i="4"/>
  <c r="R22" i="4"/>
  <c r="R23" i="4"/>
  <c r="R24" i="4"/>
  <c r="R25" i="4"/>
  <c r="R26" i="4"/>
  <c r="R27" i="4"/>
  <c r="R4" i="4"/>
  <c r="O4" i="3"/>
  <c r="S4" i="3"/>
  <c r="W4" i="3"/>
  <c r="Z27" i="3"/>
  <c r="V27" i="3"/>
  <c r="R27" i="3"/>
  <c r="U26" i="3"/>
  <c r="Q26" i="3"/>
  <c r="Y25" i="3"/>
  <c r="U25" i="3"/>
  <c r="Q25" i="3"/>
  <c r="Y24" i="3"/>
  <c r="U24" i="3"/>
  <c r="Q24" i="3"/>
  <c r="Y23" i="3"/>
  <c r="U23" i="3"/>
  <c r="Q23" i="3"/>
  <c r="Y22" i="3"/>
  <c r="U22" i="3"/>
  <c r="Q22" i="3"/>
  <c r="Y21" i="3"/>
  <c r="U21" i="3"/>
  <c r="Q21" i="3"/>
  <c r="Y20" i="3"/>
  <c r="U20" i="3"/>
  <c r="Q20" i="3"/>
  <c r="Y19" i="3"/>
  <c r="S19" i="3"/>
  <c r="W18" i="3"/>
  <c r="O18" i="3"/>
  <c r="S17" i="3"/>
  <c r="W16" i="3"/>
  <c r="O16" i="3"/>
  <c r="S15" i="3"/>
  <c r="W14" i="3"/>
  <c r="O14" i="3"/>
  <c r="S13" i="3"/>
  <c r="W12" i="3"/>
  <c r="O12" i="3"/>
  <c r="S11" i="3"/>
  <c r="W10" i="3"/>
  <c r="O10" i="3"/>
  <c r="S9" i="3"/>
  <c r="W8" i="3"/>
  <c r="O8" i="3"/>
  <c r="Z215" i="3"/>
  <c r="Z213" i="3"/>
  <c r="Z211" i="3"/>
  <c r="Z209" i="3"/>
  <c r="Z207" i="3"/>
  <c r="Z205" i="3"/>
  <c r="Z203" i="3"/>
  <c r="Z201" i="3"/>
  <c r="Z199" i="3"/>
  <c r="Z197" i="3"/>
  <c r="Z195" i="3"/>
  <c r="Z193" i="3"/>
  <c r="Z188" i="3"/>
  <c r="Z186" i="3"/>
  <c r="Z184" i="3"/>
  <c r="Z183" i="3"/>
  <c r="Z182" i="3"/>
  <c r="Z181" i="3"/>
  <c r="Z180" i="3"/>
  <c r="Z179" i="3"/>
  <c r="Z178" i="3"/>
  <c r="Z177" i="3"/>
  <c r="Z176" i="3"/>
  <c r="Z175" i="3"/>
  <c r="Z174" i="3"/>
  <c r="Z173" i="3"/>
  <c r="Z172" i="3"/>
  <c r="Z171" i="3"/>
  <c r="Z210" i="3"/>
  <c r="Z202" i="3"/>
  <c r="Z194" i="3"/>
  <c r="Z212" i="3"/>
  <c r="Z204" i="3"/>
  <c r="Z196" i="3"/>
  <c r="Z185" i="3"/>
  <c r="Z216" i="3"/>
  <c r="Z208" i="3"/>
  <c r="Z200" i="3"/>
  <c r="Z189" i="3"/>
  <c r="Z170" i="3"/>
  <c r="Z169" i="3"/>
  <c r="Z168" i="3"/>
  <c r="Z167" i="3"/>
  <c r="Z166" i="3"/>
  <c r="Z214" i="3"/>
  <c r="Z206" i="3"/>
  <c r="Z198" i="3"/>
  <c r="Z187" i="3"/>
  <c r="Z135" i="4"/>
  <c r="Z134" i="4"/>
  <c r="Z133" i="4"/>
  <c r="Z132" i="4"/>
  <c r="Z131" i="4"/>
  <c r="Z130" i="4"/>
  <c r="Z129" i="4"/>
  <c r="Z128" i="4"/>
  <c r="Z127" i="4"/>
  <c r="Z126" i="4"/>
  <c r="Z125" i="4"/>
  <c r="Z124" i="4"/>
  <c r="Z123" i="4"/>
  <c r="Z122" i="4"/>
  <c r="Z121" i="4"/>
  <c r="Z120" i="4"/>
  <c r="Z119" i="4"/>
  <c r="Z118" i="4"/>
  <c r="Z117" i="4"/>
  <c r="Z116" i="4"/>
  <c r="Z115" i="4"/>
  <c r="Z114" i="4"/>
  <c r="Z113" i="4"/>
  <c r="Z112" i="4"/>
  <c r="Z162" i="3"/>
  <c r="Z160" i="3"/>
  <c r="Z158" i="3"/>
  <c r="Z156" i="3"/>
  <c r="Z154" i="3"/>
  <c r="Z153" i="3"/>
  <c r="Z152" i="3"/>
  <c r="Z151" i="3"/>
  <c r="Z150" i="3"/>
  <c r="Z149" i="3"/>
  <c r="Z148" i="3"/>
  <c r="Z147" i="3"/>
  <c r="Z146" i="3"/>
  <c r="Z145" i="3"/>
  <c r="Z144" i="3"/>
  <c r="Z143" i="3"/>
  <c r="Z142" i="3"/>
  <c r="Z141" i="3"/>
  <c r="Z140" i="3"/>
  <c r="Z139" i="3"/>
  <c r="Z161" i="3"/>
  <c r="Z159" i="3"/>
  <c r="Z157" i="3"/>
  <c r="Z155" i="3"/>
  <c r="Z108" i="4"/>
  <c r="Z107" i="4"/>
  <c r="Z106" i="4"/>
  <c r="Z105" i="4"/>
  <c r="Z104" i="4"/>
  <c r="Z103" i="4"/>
  <c r="Z102" i="4"/>
  <c r="Z101" i="4"/>
  <c r="Z100" i="4"/>
  <c r="Z99" i="4"/>
  <c r="Z98" i="4"/>
  <c r="Z97" i="4"/>
  <c r="Z96" i="4"/>
  <c r="Z95" i="4"/>
  <c r="Z94" i="4"/>
  <c r="Z93" i="4"/>
  <c r="Z92" i="4"/>
  <c r="Z91" i="4"/>
  <c r="Z90" i="4"/>
  <c r="Z89" i="4"/>
  <c r="Z88" i="4"/>
  <c r="Z87" i="4"/>
  <c r="Z86" i="4"/>
  <c r="Z85" i="4"/>
  <c r="Z135" i="3"/>
  <c r="Z134" i="3"/>
  <c r="Z133" i="3"/>
  <c r="Z132" i="3"/>
  <c r="Z131" i="3"/>
  <c r="Z130" i="3"/>
  <c r="Z129" i="3"/>
  <c r="Z128" i="3"/>
  <c r="Z127" i="3"/>
  <c r="Z126" i="3"/>
  <c r="Z125" i="3"/>
  <c r="Z124" i="3"/>
  <c r="Z123" i="3"/>
  <c r="Z122" i="3"/>
  <c r="Z121" i="3"/>
  <c r="Z120" i="3"/>
  <c r="Z119" i="3"/>
  <c r="Z118" i="3"/>
  <c r="Z117" i="3"/>
  <c r="Z116" i="3"/>
  <c r="Z115" i="3"/>
  <c r="Z114" i="3"/>
  <c r="Z113" i="3"/>
  <c r="Z112" i="3"/>
  <c r="Z108" i="3"/>
  <c r="Z106" i="3"/>
  <c r="Z104" i="3"/>
  <c r="Z102" i="3"/>
  <c r="Z100" i="3"/>
  <c r="Z99" i="3"/>
  <c r="Z98" i="3"/>
  <c r="Z97" i="3"/>
  <c r="Z96" i="3"/>
  <c r="Z95" i="3"/>
  <c r="Z94" i="3"/>
  <c r="Z93" i="3"/>
  <c r="Z92" i="3"/>
  <c r="Z91" i="3"/>
  <c r="Z90" i="3"/>
  <c r="Z89" i="3"/>
  <c r="Z88" i="3"/>
  <c r="Z87" i="3"/>
  <c r="Z86" i="3"/>
  <c r="Z85" i="3"/>
  <c r="Z81" i="3"/>
  <c r="Z80" i="3"/>
  <c r="Z107" i="3"/>
  <c r="Z105" i="3"/>
  <c r="Z103" i="3"/>
  <c r="Z101" i="3"/>
  <c r="Z69" i="3"/>
  <c r="Z68" i="3"/>
  <c r="Z67" i="3"/>
  <c r="Z66" i="3"/>
  <c r="Z65" i="3"/>
  <c r="Z64" i="3"/>
  <c r="Z63" i="3"/>
  <c r="Z62" i="3"/>
  <c r="Z61" i="3"/>
  <c r="Z60" i="3"/>
  <c r="Z59" i="3"/>
  <c r="Z58" i="3"/>
  <c r="Z79" i="3"/>
  <c r="Z78" i="3"/>
  <c r="Z77" i="3"/>
  <c r="Z76" i="3"/>
  <c r="Z75" i="3"/>
  <c r="Z74" i="3"/>
  <c r="Z73" i="3"/>
  <c r="Z72" i="3"/>
  <c r="Z71" i="3"/>
  <c r="Z70" i="3"/>
  <c r="Z5" i="3"/>
  <c r="Z6" i="3"/>
  <c r="Z7" i="3"/>
  <c r="Z8" i="3"/>
  <c r="Z9" i="3"/>
  <c r="Z10" i="3"/>
  <c r="Z11" i="3"/>
  <c r="Z12" i="3"/>
  <c r="Z13" i="3"/>
  <c r="Z14" i="3"/>
  <c r="Z15" i="3"/>
  <c r="Z16" i="3"/>
  <c r="Z17" i="3"/>
  <c r="Z18" i="3"/>
  <c r="Z54" i="4"/>
  <c r="Z53" i="4"/>
  <c r="Z52" i="4"/>
  <c r="Z51" i="4"/>
  <c r="Z50" i="4"/>
  <c r="Z49" i="4"/>
  <c r="Z48" i="4"/>
  <c r="Z47" i="4"/>
  <c r="Z46" i="4"/>
  <c r="Z45" i="4"/>
  <c r="Z44" i="4"/>
  <c r="Z43" i="4"/>
  <c r="Z42" i="4"/>
  <c r="Z41" i="4"/>
  <c r="Z40" i="4"/>
  <c r="Z39" i="4"/>
  <c r="Z38" i="4"/>
  <c r="Z37" i="4"/>
  <c r="Z36" i="4"/>
  <c r="Z35" i="4"/>
  <c r="Z34" i="4"/>
  <c r="Z33" i="4"/>
  <c r="Z32" i="4"/>
  <c r="Z31" i="4"/>
  <c r="Z54" i="3"/>
  <c r="Z53" i="3"/>
  <c r="Z52" i="3"/>
  <c r="Z51" i="3"/>
  <c r="Z50" i="3"/>
  <c r="Z49" i="3"/>
  <c r="Z48" i="3"/>
  <c r="Z47" i="3"/>
  <c r="Z46" i="3"/>
  <c r="Z45" i="3"/>
  <c r="Z44" i="3"/>
  <c r="Z43" i="3"/>
  <c r="Z42" i="3"/>
  <c r="Z41" i="3"/>
  <c r="Z40" i="3"/>
  <c r="Z39" i="3"/>
  <c r="Z38" i="3"/>
  <c r="Z37" i="3"/>
  <c r="Z36" i="3"/>
  <c r="Z35" i="3"/>
  <c r="Z34" i="3"/>
  <c r="Z33" i="3"/>
  <c r="Z32" i="3"/>
  <c r="Z31" i="3"/>
  <c r="U162" i="4"/>
  <c r="U161" i="4"/>
  <c r="U160" i="4"/>
  <c r="U159" i="4"/>
  <c r="U158" i="4"/>
  <c r="U157" i="4"/>
  <c r="U156" i="4"/>
  <c r="U155" i="4"/>
  <c r="U154" i="4"/>
  <c r="U153" i="4"/>
  <c r="U152" i="4"/>
  <c r="U151" i="4"/>
  <c r="U150" i="4"/>
  <c r="U149" i="4"/>
  <c r="U148" i="4"/>
  <c r="U147" i="4"/>
  <c r="U146" i="4"/>
  <c r="U145" i="4"/>
  <c r="U144" i="4"/>
  <c r="U143" i="4"/>
  <c r="U142" i="4"/>
  <c r="U141" i="4"/>
  <c r="U140" i="4"/>
  <c r="U139" i="4"/>
  <c r="U80" i="4"/>
  <c r="U79" i="4"/>
  <c r="U78" i="4"/>
  <c r="U77" i="4"/>
  <c r="U76" i="4"/>
  <c r="U75" i="4"/>
  <c r="U74" i="4"/>
  <c r="U73" i="4"/>
  <c r="U72" i="4"/>
  <c r="U81" i="4"/>
  <c r="U71" i="4"/>
  <c r="U70" i="4"/>
  <c r="U69" i="4"/>
  <c r="U68" i="4"/>
  <c r="U67" i="4"/>
  <c r="U66" i="4"/>
  <c r="U65" i="4"/>
  <c r="U64" i="4"/>
  <c r="U63" i="4"/>
  <c r="U62" i="4"/>
  <c r="U61" i="4"/>
  <c r="U60" i="4"/>
  <c r="U59" i="4"/>
  <c r="U58" i="4"/>
  <c r="U5" i="4"/>
  <c r="U6" i="4"/>
  <c r="U7" i="4"/>
  <c r="U8" i="4"/>
  <c r="U9" i="4"/>
  <c r="U10" i="4"/>
  <c r="U11" i="4"/>
  <c r="U12" i="4"/>
  <c r="U13" i="4"/>
  <c r="U14" i="4"/>
  <c r="U15" i="4"/>
  <c r="U16" i="4"/>
  <c r="U18" i="4"/>
  <c r="U20" i="4"/>
  <c r="U22" i="4"/>
  <c r="U24" i="4"/>
  <c r="U26" i="4"/>
  <c r="U17" i="4"/>
  <c r="U19" i="4"/>
  <c r="U21" i="4"/>
  <c r="U23" i="4"/>
  <c r="U25" i="4"/>
  <c r="U27" i="4"/>
  <c r="U4" i="4"/>
  <c r="P4" i="3"/>
  <c r="U27" i="3"/>
  <c r="P26" i="3"/>
  <c r="P24" i="3"/>
  <c r="P22" i="3"/>
  <c r="P21" i="3"/>
  <c r="P20" i="3"/>
  <c r="Y17" i="3"/>
  <c r="Q17" i="3"/>
  <c r="U16" i="3"/>
  <c r="Y15" i="3"/>
  <c r="Q15" i="3"/>
  <c r="U14" i="3"/>
  <c r="Y13" i="3"/>
  <c r="Q13" i="3"/>
  <c r="U12" i="3"/>
  <c r="Y11" i="3"/>
  <c r="Q11" i="3"/>
  <c r="U10" i="3"/>
  <c r="Y9" i="3"/>
  <c r="Q9" i="3"/>
  <c r="U8" i="3"/>
  <c r="Y7" i="3"/>
  <c r="B3" i="1" a="1"/>
  <c r="J63" i="1" l="1"/>
  <c r="L68" i="1"/>
  <c r="B78" i="1"/>
  <c r="J52" i="1"/>
  <c r="F57" i="1"/>
  <c r="C64" i="1"/>
  <c r="D57" i="1"/>
  <c r="D71" i="1"/>
  <c r="J71" i="1"/>
  <c r="K56" i="1"/>
  <c r="B44" i="1"/>
  <c r="C43" i="1"/>
  <c r="I33" i="1"/>
  <c r="H41" i="1"/>
  <c r="E41" i="1"/>
  <c r="M44" i="1"/>
  <c r="F59" i="1"/>
  <c r="C66" i="1"/>
  <c r="H76" i="1"/>
  <c r="H73" i="1"/>
  <c r="J77" i="1"/>
  <c r="K64" i="1"/>
  <c r="D65" i="1"/>
  <c r="E71" i="1"/>
  <c r="F39" i="1"/>
  <c r="G37" i="1"/>
  <c r="H30" i="1"/>
  <c r="L44" i="1"/>
  <c r="I45" i="1"/>
  <c r="J65" i="1"/>
  <c r="G79" i="1"/>
  <c r="E61" i="1"/>
  <c r="J72" i="1"/>
  <c r="K30" i="1"/>
  <c r="C45" i="1"/>
  <c r="D38" i="1"/>
  <c r="M30" i="1"/>
  <c r="F50" i="1"/>
  <c r="B67" i="1"/>
  <c r="L66" i="1"/>
  <c r="F78" i="1"/>
  <c r="F40" i="1"/>
  <c r="G38" i="1"/>
  <c r="H31" i="1"/>
  <c r="L45" i="1"/>
  <c r="I47" i="1"/>
  <c r="F67" i="1"/>
  <c r="H78" i="1"/>
  <c r="F73" i="1"/>
  <c r="F31" i="1"/>
  <c r="K31" i="1"/>
  <c r="C46" i="1"/>
  <c r="D39" i="1"/>
  <c r="M48" i="1"/>
  <c r="L29" i="1"/>
  <c r="J59" i="1"/>
  <c r="B65" i="1"/>
  <c r="F70" i="1"/>
  <c r="C61" i="1"/>
  <c r="G66" i="1"/>
  <c r="K71" i="1"/>
  <c r="C77" i="1"/>
  <c r="E57" i="1"/>
  <c r="H59" i="1"/>
  <c r="L64" i="1"/>
  <c r="D70" i="1"/>
  <c r="L75" i="1"/>
  <c r="E63" i="1"/>
  <c r="I77" i="1"/>
  <c r="M67" i="1"/>
  <c r="E64" i="1"/>
  <c r="I78" i="1"/>
  <c r="D56" i="1"/>
  <c r="E52" i="1"/>
  <c r="F34" i="1"/>
  <c r="J39" i="1"/>
  <c r="B59" i="1"/>
  <c r="B66" i="1"/>
  <c r="K58" i="1"/>
  <c r="K65" i="1"/>
  <c r="K72" i="1"/>
  <c r="H75" i="1"/>
  <c r="L58" i="1"/>
  <c r="L65" i="1"/>
  <c r="D73" i="1"/>
  <c r="M61" i="1"/>
  <c r="I79" i="1"/>
  <c r="J75" i="1"/>
  <c r="E77" i="1"/>
  <c r="E56" i="1"/>
  <c r="B32" i="1"/>
  <c r="B39" i="1"/>
  <c r="F45" i="1"/>
  <c r="K33" i="1"/>
  <c r="C39" i="1"/>
  <c r="G44" i="1"/>
  <c r="K49" i="1"/>
  <c r="E36" i="1"/>
  <c r="D32" i="1"/>
  <c r="H37" i="1"/>
  <c r="L42" i="1"/>
  <c r="D48" i="1"/>
  <c r="E33" i="1"/>
  <c r="E44" i="1"/>
  <c r="I44" i="1"/>
  <c r="I48" i="1"/>
  <c r="E29" i="1"/>
  <c r="F61" i="1"/>
  <c r="F68" i="1"/>
  <c r="K60" i="1"/>
  <c r="C68" i="1"/>
  <c r="C75" i="1"/>
  <c r="H79" i="1"/>
  <c r="D61" i="1"/>
  <c r="D68" i="1"/>
  <c r="D75" i="1"/>
  <c r="M68" i="1"/>
  <c r="B74" i="1"/>
  <c r="J78" i="1"/>
  <c r="J68" i="1"/>
  <c r="G68" i="1"/>
  <c r="E58" i="1"/>
  <c r="H68" i="1"/>
  <c r="E70" i="1"/>
  <c r="I65" i="1"/>
  <c r="G56" i="1"/>
  <c r="F32" i="1"/>
  <c r="J41" i="1"/>
  <c r="C32" i="1"/>
  <c r="G39" i="1"/>
  <c r="G46" i="1"/>
  <c r="M32" i="1"/>
  <c r="H32" i="1"/>
  <c r="H39" i="1"/>
  <c r="H46" i="1"/>
  <c r="M33" i="1"/>
  <c r="I49" i="1"/>
  <c r="I43" i="1"/>
  <c r="I29" i="1"/>
  <c r="F69" i="1"/>
  <c r="K68" i="1"/>
  <c r="M58" i="1"/>
  <c r="D69" i="1"/>
  <c r="I71" i="1"/>
  <c r="M66" i="1"/>
  <c r="J56" i="1"/>
  <c r="J32" i="1"/>
  <c r="B42" i="1"/>
  <c r="K32" i="1"/>
  <c r="K39" i="1"/>
  <c r="K46" i="1"/>
  <c r="E34" i="1"/>
  <c r="L32" i="1"/>
  <c r="L39" i="1"/>
  <c r="D47" i="1"/>
  <c r="I34" i="1"/>
  <c r="E50" i="1"/>
  <c r="E46" i="1"/>
  <c r="M29" i="1"/>
  <c r="J70" i="1"/>
  <c r="C70" i="1"/>
  <c r="I61" i="1"/>
  <c r="H70" i="1"/>
  <c r="E74" i="1"/>
  <c r="M70" i="1"/>
  <c r="H56" i="1"/>
  <c r="F33" i="1"/>
  <c r="B43" i="1"/>
  <c r="C33" i="1"/>
  <c r="C40" i="1"/>
  <c r="G47" i="1"/>
  <c r="M34" i="1"/>
  <c r="D33" i="1"/>
  <c r="H40" i="1"/>
  <c r="H47" i="1"/>
  <c r="E35" i="1"/>
  <c r="I51" i="1"/>
  <c r="E47" i="1"/>
  <c r="F29" i="1"/>
  <c r="B71" i="1"/>
  <c r="K70" i="1"/>
  <c r="E62" i="1"/>
  <c r="L70" i="1"/>
  <c r="I75" i="1"/>
  <c r="M71" i="1"/>
  <c r="L56" i="1"/>
  <c r="B34" i="1"/>
  <c r="F43" i="1"/>
  <c r="G33" i="1"/>
  <c r="K40" i="1"/>
  <c r="K47" i="1"/>
  <c r="I35" i="1"/>
  <c r="L33" i="1"/>
  <c r="L40" i="1"/>
  <c r="L47" i="1"/>
  <c r="I36" i="1"/>
  <c r="B51" i="1"/>
  <c r="M47" i="1"/>
  <c r="B3" i="1"/>
  <c r="F66" i="1"/>
  <c r="C57" i="1"/>
  <c r="G62" i="1"/>
  <c r="K67" i="1"/>
  <c r="C73" i="1"/>
  <c r="G78" i="1"/>
  <c r="E60" i="1"/>
  <c r="L60" i="1"/>
  <c r="H71" i="1"/>
  <c r="D78" i="1"/>
  <c r="I67" i="1"/>
  <c r="F76" i="1"/>
  <c r="I69" i="1"/>
  <c r="M65" i="1"/>
  <c r="F30" i="1"/>
  <c r="J35" i="1"/>
  <c r="J60" i="1"/>
  <c r="B68" i="1"/>
  <c r="G67" i="1"/>
  <c r="K74" i="1"/>
  <c r="H60" i="1"/>
  <c r="L74" i="1"/>
  <c r="E66" i="1"/>
  <c r="J76" i="1"/>
  <c r="K52" i="1"/>
  <c r="J33" i="1"/>
  <c r="J46" i="1"/>
  <c r="C35" i="1"/>
  <c r="K45" i="1"/>
  <c r="M38" i="1"/>
  <c r="H33" i="1"/>
  <c r="D44" i="1"/>
  <c r="H49" i="1"/>
  <c r="E48" i="1"/>
  <c r="E51" i="1"/>
  <c r="B63" i="1"/>
  <c r="B70" i="1"/>
  <c r="K69" i="1"/>
  <c r="M60" i="1"/>
  <c r="L62" i="1"/>
  <c r="L78" i="1"/>
  <c r="I73" i="1"/>
  <c r="B58" i="1"/>
  <c r="C72" i="1"/>
  <c r="D72" i="1"/>
  <c r="I72" i="1"/>
  <c r="M56" i="1"/>
  <c r="J43" i="1"/>
  <c r="C41" i="1"/>
  <c r="M36" i="1"/>
  <c r="D34" i="1"/>
  <c r="H48" i="1"/>
  <c r="J51" i="1"/>
  <c r="J58" i="1"/>
  <c r="C58" i="1"/>
  <c r="H58" i="1"/>
  <c r="M78" i="1"/>
  <c r="F56" i="1"/>
  <c r="B35" i="1"/>
  <c r="G34" i="1"/>
  <c r="K48" i="1"/>
  <c r="I37" i="1"/>
  <c r="L41" i="1"/>
  <c r="M37" i="1"/>
  <c r="J48" i="1"/>
  <c r="B60" i="1"/>
  <c r="K73" i="1"/>
  <c r="L73" i="1"/>
  <c r="B79" i="1"/>
  <c r="C52" i="1"/>
  <c r="J44" i="1"/>
  <c r="C42" i="1"/>
  <c r="C49" i="1"/>
  <c r="D35" i="1"/>
  <c r="D49" i="1"/>
  <c r="E39" i="1"/>
  <c r="I50" i="1"/>
  <c r="C60" i="1"/>
  <c r="C74" i="1"/>
  <c r="H74" i="1"/>
  <c r="I76" i="1"/>
  <c r="I52" i="1"/>
  <c r="B45" i="1"/>
  <c r="G42" i="1"/>
  <c r="I39" i="1"/>
  <c r="H35" i="1"/>
  <c r="L49" i="1"/>
  <c r="M39" i="1"/>
  <c r="M51" i="1"/>
  <c r="B61" i="1"/>
  <c r="D66" i="1"/>
  <c r="F72" i="1"/>
  <c r="I56" i="1"/>
  <c r="B41" i="1"/>
  <c r="G60" i="1"/>
  <c r="D79" i="1"/>
  <c r="L67" i="1"/>
  <c r="B72" i="1"/>
  <c r="I64" i="1"/>
  <c r="J40" i="1"/>
  <c r="G40" i="1"/>
  <c r="C51" i="1"/>
  <c r="L38" i="1"/>
  <c r="M35" i="1"/>
  <c r="F48" i="1"/>
  <c r="J29" i="1"/>
  <c r="K62" i="1"/>
  <c r="K76" i="1"/>
  <c r="L69" i="1"/>
  <c r="I66" i="1"/>
  <c r="K57" i="1"/>
  <c r="L57" i="1"/>
  <c r="E78" i="1"/>
  <c r="J34" i="1"/>
  <c r="C34" i="1"/>
  <c r="C48" i="1"/>
  <c r="D41" i="1"/>
  <c r="E37" i="1"/>
  <c r="E49" i="1"/>
  <c r="G72" i="1"/>
  <c r="H72" i="1"/>
  <c r="I74" i="1"/>
  <c r="F44" i="1"/>
  <c r="G41" i="1"/>
  <c r="H34" i="1"/>
  <c r="L48" i="1"/>
  <c r="M49" i="1"/>
  <c r="G59" i="1"/>
  <c r="L59" i="1"/>
  <c r="E75" i="1"/>
  <c r="B36" i="1"/>
  <c r="K34" i="1"/>
  <c r="E38" i="1"/>
  <c r="D42" i="1"/>
  <c r="J50" i="1"/>
  <c r="F60" i="1"/>
  <c r="D60" i="1"/>
  <c r="J79" i="1"/>
  <c r="F36" i="1"/>
  <c r="G35" i="1"/>
  <c r="G49" i="1"/>
  <c r="H42" i="1"/>
  <c r="E43" i="1"/>
  <c r="B57" i="1"/>
  <c r="F62" i="1"/>
  <c r="J67" i="1"/>
  <c r="G58" i="1"/>
  <c r="K63" i="1"/>
  <c r="C69" i="1"/>
  <c r="G74" i="1"/>
  <c r="K79" i="1"/>
  <c r="M62" i="1"/>
  <c r="D62" i="1"/>
  <c r="H67" i="1"/>
  <c r="L72" i="1"/>
  <c r="M57" i="1"/>
  <c r="E72" i="1"/>
  <c r="I68" i="1"/>
  <c r="B75" i="1"/>
  <c r="E73" i="1"/>
  <c r="J74" i="1"/>
  <c r="G52" i="1"/>
  <c r="J31" i="1"/>
  <c r="B37" i="1"/>
  <c r="F42" i="1"/>
  <c r="J62" i="1"/>
  <c r="J69" i="1"/>
  <c r="C62" i="1"/>
  <c r="G69" i="1"/>
  <c r="G76" i="1"/>
  <c r="I59" i="1"/>
  <c r="H62" i="1"/>
  <c r="H69" i="1"/>
  <c r="H77" i="1"/>
  <c r="M72" i="1"/>
  <c r="E65" i="1"/>
  <c r="E68" i="1"/>
  <c r="F75" i="1"/>
  <c r="H52" i="1"/>
  <c r="F35" i="1"/>
  <c r="J42" i="1"/>
  <c r="C31" i="1"/>
  <c r="G36" i="1"/>
  <c r="K41" i="1"/>
  <c r="C47" i="1"/>
  <c r="E31" i="1"/>
  <c r="I41" i="1"/>
  <c r="L34" i="1"/>
  <c r="D40" i="1"/>
  <c r="H45" i="1"/>
  <c r="L50" i="1"/>
  <c r="I38" i="1"/>
  <c r="M50" i="1"/>
  <c r="M43" i="1"/>
  <c r="B50" i="1"/>
  <c r="J57" i="1"/>
  <c r="J64" i="1"/>
  <c r="G57" i="1"/>
  <c r="G64" i="1"/>
  <c r="G71" i="1"/>
  <c r="K78" i="1"/>
  <c r="H57" i="1"/>
  <c r="H64" i="1"/>
  <c r="L71" i="1"/>
  <c r="E59" i="1"/>
  <c r="M76" i="1"/>
  <c r="B73" i="1"/>
  <c r="J61" i="1"/>
  <c r="G61" i="1"/>
  <c r="G75" i="1"/>
  <c r="H61" i="1"/>
  <c r="D76" i="1"/>
  <c r="B76" i="1"/>
  <c r="M77" i="1"/>
  <c r="B52" i="1"/>
  <c r="J36" i="1"/>
  <c r="J45" i="1"/>
  <c r="K35" i="1"/>
  <c r="K42" i="1"/>
  <c r="C50" i="1"/>
  <c r="E40" i="1"/>
  <c r="L35" i="1"/>
  <c r="D43" i="1"/>
  <c r="D50" i="1"/>
  <c r="I40" i="1"/>
  <c r="M45" i="1"/>
  <c r="I46" i="1"/>
  <c r="B62" i="1"/>
  <c r="K61" i="1"/>
  <c r="C76" i="1"/>
  <c r="L61" i="1"/>
  <c r="L76" i="1"/>
  <c r="M63" i="1"/>
  <c r="E79" i="1"/>
  <c r="D52" i="1"/>
  <c r="J37" i="1"/>
  <c r="B46" i="1"/>
  <c r="C36" i="1"/>
  <c r="G43" i="1"/>
  <c r="G50" i="1"/>
  <c r="M40" i="1"/>
  <c r="H36" i="1"/>
  <c r="H43" i="1"/>
  <c r="H50" i="1"/>
  <c r="M41" i="1"/>
  <c r="B47" i="1"/>
  <c r="B48" i="1"/>
  <c r="F63" i="1"/>
  <c r="C63" i="1"/>
  <c r="G77" i="1"/>
  <c r="D63" i="1"/>
  <c r="L79" i="1"/>
  <c r="E69" i="1"/>
  <c r="M79" i="1"/>
  <c r="L52" i="1"/>
  <c r="B38" i="1"/>
  <c r="F46" i="1"/>
  <c r="K36" i="1"/>
  <c r="K43" i="1"/>
  <c r="K50" i="1"/>
  <c r="E42" i="1"/>
  <c r="L36" i="1"/>
  <c r="L43" i="1"/>
  <c r="D51" i="1"/>
  <c r="I42" i="1"/>
  <c r="J47" i="1"/>
  <c r="F51" i="1"/>
  <c r="B64" i="1"/>
  <c r="G63" i="1"/>
  <c r="K77" i="1"/>
  <c r="L63" i="1"/>
  <c r="I57" i="1"/>
  <c r="I70" i="1"/>
  <c r="E67" i="1"/>
  <c r="M52" i="1"/>
  <c r="J38" i="1"/>
  <c r="C30" i="1"/>
  <c r="C37" i="1"/>
  <c r="C44" i="1"/>
  <c r="G51" i="1"/>
  <c r="D30" i="1"/>
  <c r="D37" i="1"/>
  <c r="H44" i="1"/>
  <c r="H51" i="1"/>
  <c r="M42" i="1"/>
  <c r="B49" i="1"/>
  <c r="C29" i="1"/>
  <c r="F58" i="1"/>
  <c r="B69" i="1"/>
  <c r="K59" i="1"/>
  <c r="C65" i="1"/>
  <c r="G70" i="1"/>
  <c r="K75" i="1"/>
  <c r="L77" i="1"/>
  <c r="D58" i="1"/>
  <c r="H63" i="1"/>
  <c r="D74" i="1"/>
  <c r="I60" i="1"/>
  <c r="M74" i="1"/>
  <c r="M69" i="1"/>
  <c r="M75" i="1"/>
  <c r="C56" i="1"/>
  <c r="B33" i="1"/>
  <c r="F38" i="1"/>
  <c r="F64" i="1"/>
  <c r="F71" i="1"/>
  <c r="C71" i="1"/>
  <c r="C78" i="1"/>
  <c r="D64" i="1"/>
  <c r="I58" i="1"/>
  <c r="E76" i="1"/>
  <c r="M73" i="1"/>
  <c r="B30" i="1"/>
  <c r="F37" i="1"/>
  <c r="G32" i="1"/>
  <c r="K37" i="1"/>
  <c r="G48" i="1"/>
  <c r="L30" i="1"/>
  <c r="D36" i="1"/>
  <c r="L46" i="1"/>
  <c r="E30" i="1"/>
  <c r="E45" i="1"/>
  <c r="K29" i="1"/>
  <c r="J66" i="1"/>
  <c r="C59" i="1"/>
  <c r="G73" i="1"/>
  <c r="D59" i="1"/>
  <c r="H66" i="1"/>
  <c r="I62" i="1"/>
  <c r="B77" i="1"/>
  <c r="F65" i="1"/>
  <c r="C79" i="1"/>
  <c r="M59" i="1"/>
  <c r="J73" i="1"/>
  <c r="F52" i="1"/>
  <c r="G30" i="1"/>
  <c r="K44" i="1"/>
  <c r="K51" i="1"/>
  <c r="L37" i="1"/>
  <c r="L51" i="1"/>
  <c r="J49" i="1"/>
  <c r="G29" i="1"/>
  <c r="G65" i="1"/>
  <c r="H65" i="1"/>
  <c r="F74" i="1"/>
  <c r="J30" i="1"/>
  <c r="B40" i="1"/>
  <c r="C38" i="1"/>
  <c r="I30" i="1"/>
  <c r="D31" i="1"/>
  <c r="D45" i="1"/>
  <c r="M46" i="1"/>
  <c r="H29" i="1"/>
  <c r="K66" i="1"/>
  <c r="D77" i="1"/>
  <c r="I63" i="1"/>
  <c r="F77" i="1"/>
  <c r="B31" i="1"/>
  <c r="G31" i="1"/>
  <c r="G45" i="1"/>
  <c r="I31" i="1"/>
  <c r="H38" i="1"/>
  <c r="M31" i="1"/>
  <c r="F47" i="1"/>
  <c r="D29" i="1"/>
  <c r="C67" i="1"/>
  <c r="D67" i="1"/>
  <c r="M64" i="1"/>
  <c r="F79" i="1"/>
  <c r="F41" i="1"/>
  <c r="K38" i="1"/>
  <c r="E32" i="1"/>
  <c r="L31" i="1"/>
  <c r="D46" i="1"/>
  <c r="I32" i="1"/>
  <c r="F49" i="1"/>
  <c r="B56" i="1" l="1"/>
  <c r="B80" i="1" s="1"/>
  <c r="D80" i="1"/>
  <c r="D53" i="1"/>
  <c r="L80" i="1"/>
  <c r="I53" i="1"/>
  <c r="K80" i="1"/>
  <c r="G80" i="1"/>
  <c r="J80" i="1"/>
  <c r="B29" i="1"/>
  <c r="C53" i="1"/>
  <c r="L53" i="1"/>
  <c r="H53" i="1"/>
  <c r="M80" i="1"/>
  <c r="E53" i="1"/>
  <c r="M53" i="1"/>
  <c r="K53" i="1"/>
  <c r="E80" i="1"/>
  <c r="I80" i="1"/>
  <c r="G53" i="1"/>
  <c r="F53" i="1"/>
  <c r="C80" i="1"/>
  <c r="H80" i="1"/>
  <c r="J53" i="1"/>
  <c r="F80" i="1"/>
  <c r="B53" i="1" l="1"/>
  <c r="P10" i="1" s="1"/>
  <c r="P7" i="1"/>
  <c r="P9" i="1"/>
  <c r="P8" i="1"/>
  <c r="P13" i="1" l="1"/>
  <c r="P20" i="1" s="1"/>
  <c r="P11" i="1"/>
  <c r="P12" i="1"/>
  <c r="P15" i="1" l="1"/>
  <c r="P1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<sst xmlns="http://schemas.openxmlformats.org/spreadsheetml/2006/main" count="506" uniqueCount="75">
  <si>
    <t>January</t>
  </si>
  <si>
    <t>February</t>
  </si>
  <si>
    <t>March</t>
  </si>
  <si>
    <t>April</t>
  </si>
  <si>
    <t>May</t>
  </si>
  <si>
    <t>June</t>
  </si>
  <si>
    <t>July</t>
  </si>
  <si>
    <t>August</t>
  </si>
  <si>
    <t>September</t>
  </si>
  <si>
    <t>October</t>
  </si>
  <si>
    <t>November</t>
  </si>
  <si>
    <t>December</t>
  </si>
  <si>
    <t>Monthly consumption</t>
  </si>
  <si>
    <t>Monthly production</t>
  </si>
  <si>
    <t>Time</t>
  </si>
  <si>
    <t>Relative Consumption</t>
  </si>
  <si>
    <t>Jan</t>
  </si>
  <si>
    <t>Feb</t>
  </si>
  <si>
    <t>Mar</t>
  </si>
  <si>
    <t>Apr</t>
  </si>
  <si>
    <t>Jun</t>
  </si>
  <si>
    <t>Jul</t>
  </si>
  <si>
    <t>Aug</t>
  </si>
  <si>
    <t>Sep</t>
  </si>
  <si>
    <t>Oct</t>
  </si>
  <si>
    <t>Nov</t>
  </si>
  <si>
    <t>Dec</t>
  </si>
  <si>
    <t>Extrapolated Consumption</t>
  </si>
  <si>
    <t>Supermarket with electric heating, with A/C</t>
  </si>
  <si>
    <t>Supermarket with electric heating, no A/C</t>
  </si>
  <si>
    <t>H</t>
  </si>
  <si>
    <t>Avg_Daily_Con</t>
  </si>
  <si>
    <t>Avg_Daily_Prod</t>
  </si>
  <si>
    <t>Consumption profile :</t>
  </si>
  <si>
    <t>Production profile :</t>
  </si>
  <si>
    <t>Relative Production</t>
  </si>
  <si>
    <t>Extrapolated Production</t>
  </si>
  <si>
    <t xml:space="preserve">Consumption profile : </t>
  </si>
  <si>
    <t xml:space="preserve">Production profile : </t>
  </si>
  <si>
    <t xml:space="preserve">Consumption profiles </t>
  </si>
  <si>
    <t>Name of customer</t>
  </si>
  <si>
    <t>Avg Excess Needs</t>
  </si>
  <si>
    <t>Max Excess Needs</t>
  </si>
  <si>
    <t>Min Excess Needs</t>
  </si>
  <si>
    <t>Avg Excess Prod</t>
  </si>
  <si>
    <t>Min Excess Prod</t>
  </si>
  <si>
    <t>Max Excess Prod</t>
  </si>
  <si>
    <t>Total daily</t>
  </si>
  <si>
    <t>Delta between production and consumption (average day)</t>
  </si>
  <si>
    <t>Supermarket with gas heating, with A/C</t>
  </si>
  <si>
    <t>Supermarket with gas heating, no A/C</t>
  </si>
  <si>
    <t>Office building with electric heating, with A/C</t>
  </si>
  <si>
    <t>Office building with electric heating, no A/C</t>
  </si>
  <si>
    <t>Office building with gas heating, with A/C</t>
  </si>
  <si>
    <t>Belgium</t>
  </si>
  <si>
    <t>Northern France</t>
  </si>
  <si>
    <t>Eastern France</t>
  </si>
  <si>
    <t>Western France</t>
  </si>
  <si>
    <t>Central France</t>
  </si>
  <si>
    <t>Avg battery needs</t>
  </si>
  <si>
    <t>Min battery needs</t>
  </si>
  <si>
    <t>Max battery needs</t>
  </si>
  <si>
    <t>Custom made - Pacapime</t>
  </si>
  <si>
    <t xml:space="preserve">Production profiles </t>
  </si>
  <si>
    <t>Papetterie</t>
  </si>
  <si>
    <t>Injection (average day)</t>
  </si>
  <si>
    <t>Grid consumption (average day)</t>
  </si>
  <si>
    <t>EXPLANATION</t>
  </si>
  <si>
    <t>HOW TO USE THE TOOL</t>
  </si>
  <si>
    <t xml:space="preserve">DISCLAIMER: This document is the intellectual property of Watt4Ever srl. Watt4Ever srl authorizes its use strictly for educational reasons. It may not be reproduced, copied, or broadcasted under any circumstances without the written authorization of Watt4Ever srl. </t>
  </si>
  <si>
    <t>OUTPUT</t>
  </si>
  <si>
    <t>DATA</t>
  </si>
  <si>
    <t>Yearly savings</t>
  </si>
  <si>
    <t>Offtake tariff (MWh)</t>
  </si>
  <si>
    <t>Injection tariff (MWh)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</si>
</sst>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quot;kWh&quot;"/>
    <numFmt numFmtId="165" formatCode="0.0%"/>
    <numFmt numFmtId="166" formatCode="[$-F400]h:mm:ss\ AM/PM"/>
    <numFmt numFmtId="167" formatCode="#,##0.0\ &quot;kWh&quot;"/>
  </numFmts>
  <fonts count="18"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26"/>
      <color theme="1"/>
      <name val="Helvetica"/>
    </font>
    <font>
      <sz val="11"/>
      <color theme="1"/>
      <name val="Helvetica"/>
    </font>
    <font>
      <sz val="18"/>
      <color theme="1"/>
      <name val="Helvetica"/>
    </font>
    <font>
      <b/>
      <sz val="11"/>
      <color theme="1"/>
      <name val="Helvetica"/>
    </font>
    <font>
      <b/>
      <u/>
      <sz val="20"/>
      <color rgb="FF002060"/>
      <name val="Helvetica"/>
    </font>
    <font>
      <b/>
      <sz val="20"/>
      <color rgb="FF002060"/>
      <name val="Helvetica"/>
    </font>
    <font>
      <b/>
      <u/>
      <sz val="16"/>
      <color theme="1" tint="4.9989318521683403E-2"/>
      <name val="Helvetica"/>
    </font>
    <font>
      <b/>
      <sz val="16"/>
      <color theme="1" tint="4.9989318521683403E-2"/>
      <name val="Helvetica"/>
    </font>
    <font>
      <b/>
      <u/>
      <sz val="18"/>
      <color rgb="FF002060"/>
      <name val="Helvetica"/>
    </font>
    <font>
      <b/>
      <sz val="20"/>
      <color theme="1"/>
      <name val="Helvetica"/>
    </font>
    <font>
      <sz val="16"/>
      <color theme="1"/>
      <name val="Calibri"/>
      <family val="2"/>
      <scheme val="minor"/>
    </font>
    <font>
      <b/>
      <sz val="16"/>
      <color theme="1"/>
      <name val="Calibri"/>
      <family val="2"/>
      <scheme val="minor"/>
    </font>
    <font>
      <sz val="11"/>
      <color rgb="FFFF0000"/>
      <name val="Calibri"/>
      <family val="2"/>
      <scheme val="minor"/>
    </font>
    <font>
      <sz val="11"/>
      <color theme="0"/>
      <name val="Helvetica"/>
    </font>
  </fonts>
  <fills count="13">
    <fill>
      <patternFill patternType="none"/>
    </fill>
    <fill>
      <patternFill patternType="gray125"/>
    </fill>
    <fill>
      <patternFill patternType="solid">
        <fgColor theme="9" tint="0.39997558519241921"/>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rgb="FF00B0F0"/>
        <bgColor indexed="64"/>
      </patternFill>
    </fill>
    <fill>
      <patternFill patternType="solid">
        <fgColor theme="0"/>
        <bgColor indexed="64"/>
      </patternFill>
    </fill>
    <fill>
      <patternFill patternType="solid">
        <fgColor theme="6"/>
        <bgColor indexed="64"/>
      </patternFill>
    </fill>
  </fills>
  <borders count="23">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78">
    <xf numFmtId="0" fontId="0" fillId="0" borderId="0" xfId="0"/>
    <xf numFmtId="0" fontId="2" fillId="2" borderId="2" xfId="0" applyFont="1" applyFill="1" applyBorder="1"/>
    <xf numFmtId="0" fontId="2" fillId="2" borderId="3" xfId="0" applyFont="1" applyFill="1" applyBorder="1"/>
    <xf numFmtId="164" fontId="0" fillId="0" borderId="2" xfId="0" applyNumberFormat="1" applyBorder="1" applyAlignment="1">
      <alignment horizontal="right"/>
    </xf>
    <xf numFmtId="164" fontId="0" fillId="0" borderId="3" xfId="0" applyNumberFormat="1" applyBorder="1" applyAlignment="1">
      <alignment horizontal="right"/>
    </xf>
    <xf numFmtId="0" fontId="2" fillId="2" borderId="0" xfId="0" applyFont="1" applyFill="1"/>
    <xf numFmtId="164" fontId="0" fillId="5" borderId="13" xfId="0" applyNumberFormat="1" applyFill="1" applyBorder="1"/>
    <xf numFmtId="164" fontId="0" fillId="5" borderId="2" xfId="0" applyNumberFormat="1" applyFill="1" applyBorder="1"/>
    <xf numFmtId="164" fontId="0" fillId="5" borderId="5" xfId="0" applyNumberFormat="1" applyFill="1" applyBorder="1"/>
    <xf numFmtId="164" fontId="0" fillId="5" borderId="3" xfId="0" applyNumberFormat="1" applyFill="1" applyBorder="1"/>
    <xf numFmtId="0" fontId="2" fillId="2" borderId="11" xfId="0" applyFont="1" applyFill="1" applyBorder="1"/>
    <xf numFmtId="164" fontId="0" fillId="5" borderId="14" xfId="0" applyNumberFormat="1" applyFill="1" applyBorder="1"/>
    <xf numFmtId="164" fontId="0" fillId="5" borderId="4" xfId="0" applyNumberFormat="1" applyFill="1" applyBorder="1"/>
    <xf numFmtId="167" fontId="0" fillId="0" borderId="0" xfId="0" applyNumberFormat="1"/>
    <xf numFmtId="0" fontId="2" fillId="2" borderId="16" xfId="0" applyFont="1" applyFill="1" applyBorder="1"/>
    <xf numFmtId="0" fontId="5" fillId="0" borderId="0" xfId="0" applyFont="1"/>
    <xf numFmtId="0" fontId="6" fillId="6" borderId="11" xfId="0" applyFont="1" applyFill="1" applyBorder="1"/>
    <xf numFmtId="0" fontId="6" fillId="6" borderId="11" xfId="0" applyFont="1" applyFill="1" applyBorder="1" applyAlignment="1">
      <alignment horizontal="center"/>
    </xf>
    <xf numFmtId="21" fontId="6" fillId="6" borderId="17" xfId="0" applyNumberFormat="1" applyFont="1" applyFill="1" applyBorder="1"/>
    <xf numFmtId="0" fontId="5" fillId="0" borderId="11" xfId="0" applyFont="1" applyBorder="1" applyAlignment="1">
      <alignment horizontal="left"/>
    </xf>
    <xf numFmtId="167" fontId="5" fillId="0" borderId="0" xfId="1" applyNumberFormat="1" applyFont="1" applyBorder="1"/>
    <xf numFmtId="167" fontId="5" fillId="0" borderId="2" xfId="1" applyNumberFormat="1" applyFont="1" applyBorder="1"/>
    <xf numFmtId="164" fontId="5" fillId="7" borderId="11" xfId="0" applyNumberFormat="1" applyFont="1" applyFill="1" applyBorder="1" applyAlignment="1">
      <alignment horizontal="left"/>
    </xf>
    <xf numFmtId="164" fontId="5" fillId="5" borderId="11" xfId="0" applyNumberFormat="1" applyFont="1" applyFill="1" applyBorder="1" applyAlignment="1">
      <alignment horizontal="left"/>
    </xf>
    <xf numFmtId="167" fontId="5" fillId="5" borderId="11" xfId="0" applyNumberFormat="1" applyFont="1" applyFill="1" applyBorder="1" applyAlignment="1">
      <alignment horizontal="left"/>
    </xf>
    <xf numFmtId="21" fontId="6" fillId="6" borderId="11" xfId="0" applyNumberFormat="1" applyFont="1" applyFill="1" applyBorder="1"/>
    <xf numFmtId="167" fontId="5" fillId="0" borderId="1" xfId="1" applyNumberFormat="1" applyFont="1" applyBorder="1"/>
    <xf numFmtId="167" fontId="5" fillId="0" borderId="3" xfId="1" applyNumberFormat="1" applyFont="1" applyBorder="1"/>
    <xf numFmtId="0" fontId="7" fillId="3" borderId="11" xfId="0" applyFont="1" applyFill="1" applyBorder="1" applyAlignment="1">
      <alignment vertical="center" textRotation="255"/>
    </xf>
    <xf numFmtId="14" fontId="7" fillId="3" borderId="11" xfId="0" applyNumberFormat="1" applyFont="1" applyFill="1" applyBorder="1" applyAlignment="1">
      <alignment textRotation="255"/>
    </xf>
    <xf numFmtId="14" fontId="7" fillId="3" borderId="12" xfId="0" applyNumberFormat="1" applyFont="1" applyFill="1" applyBorder="1" applyAlignment="1">
      <alignment textRotation="255"/>
    </xf>
    <xf numFmtId="167" fontId="7" fillId="3" borderId="11" xfId="0" applyNumberFormat="1" applyFont="1" applyFill="1" applyBorder="1" applyAlignment="1">
      <alignment horizontal="center" vertical="center"/>
    </xf>
    <xf numFmtId="166" fontId="7" fillId="3" borderId="11" xfId="0" applyNumberFormat="1" applyFont="1" applyFill="1" applyBorder="1"/>
    <xf numFmtId="9" fontId="5" fillId="0" borderId="6" xfId="1" applyFont="1" applyBorder="1"/>
    <xf numFmtId="9" fontId="5" fillId="0" borderId="0" xfId="1" applyFont="1" applyBorder="1"/>
    <xf numFmtId="9" fontId="5" fillId="0" borderId="7" xfId="1" applyFont="1" applyBorder="1"/>
    <xf numFmtId="9" fontId="5" fillId="0" borderId="8" xfId="1" applyFont="1" applyBorder="1"/>
    <xf numFmtId="9" fontId="5" fillId="0" borderId="9" xfId="1" applyFont="1" applyBorder="1"/>
    <xf numFmtId="9" fontId="5" fillId="0" borderId="10" xfId="1" applyFont="1" applyBorder="1"/>
    <xf numFmtId="166" fontId="7" fillId="3" borderId="17" xfId="0" applyNumberFormat="1" applyFont="1" applyFill="1" applyBorder="1"/>
    <xf numFmtId="167" fontId="7" fillId="3" borderId="17" xfId="0" applyNumberFormat="1" applyFont="1" applyFill="1" applyBorder="1" applyAlignment="1">
      <alignment horizontal="center" vertical="center"/>
    </xf>
    <xf numFmtId="167" fontId="5" fillId="0" borderId="18" xfId="1" applyNumberFormat="1" applyFont="1" applyBorder="1"/>
    <xf numFmtId="165" fontId="5" fillId="0" borderId="0" xfId="1" applyNumberFormat="1" applyFont="1" applyBorder="1"/>
    <xf numFmtId="165" fontId="5" fillId="0" borderId="1" xfId="1" applyNumberFormat="1" applyFont="1" applyBorder="1"/>
    <xf numFmtId="0" fontId="7" fillId="0" borderId="11" xfId="0" applyFont="1" applyBorder="1"/>
    <xf numFmtId="0" fontId="7" fillId="7" borderId="11" xfId="0" applyFont="1" applyFill="1" applyBorder="1"/>
    <xf numFmtId="0" fontId="7" fillId="5" borderId="11" xfId="0" applyFont="1" applyFill="1" applyBorder="1"/>
    <xf numFmtId="0" fontId="7" fillId="8" borderId="11" xfId="0" applyFont="1" applyFill="1" applyBorder="1"/>
    <xf numFmtId="21" fontId="6" fillId="10" borderId="11" xfId="0" applyNumberFormat="1" applyFont="1" applyFill="1" applyBorder="1"/>
    <xf numFmtId="164" fontId="5" fillId="10" borderId="11" xfId="0" applyNumberFormat="1" applyFont="1" applyFill="1" applyBorder="1"/>
    <xf numFmtId="164" fontId="5" fillId="8" borderId="11" xfId="0" applyNumberFormat="1" applyFont="1" applyFill="1" applyBorder="1" applyAlignment="1">
      <alignment horizontal="left"/>
    </xf>
    <xf numFmtId="164" fontId="0" fillId="0" borderId="0" xfId="0" applyNumberFormat="1" applyAlignment="1">
      <alignment horizontal="right"/>
    </xf>
    <xf numFmtId="164" fontId="0" fillId="0" borderId="1" xfId="0" applyNumberFormat="1" applyBorder="1" applyAlignment="1">
      <alignment horizontal="right"/>
    </xf>
    <xf numFmtId="0" fontId="0" fillId="11" borderId="0" xfId="0" applyFill="1"/>
    <xf numFmtId="0" fontId="5" fillId="0" borderId="20" xfId="0" applyFont="1" applyBorder="1"/>
    <xf numFmtId="0" fontId="5" fillId="0" borderId="10" xfId="0" applyFont="1" applyBorder="1"/>
    <xf numFmtId="0" fontId="17" fillId="12" borderId="19" xfId="0" applyFont="1" applyFill="1" applyBorder="1"/>
    <xf numFmtId="0" fontId="17" fillId="12" borderId="8" xfId="0" applyFont="1" applyFill="1" applyBorder="1"/>
    <xf numFmtId="0" fontId="17" fillId="12" borderId="21" xfId="0" applyFont="1" applyFill="1" applyBorder="1"/>
    <xf numFmtId="0" fontId="5" fillId="0" borderId="22" xfId="0" applyFont="1" applyBorder="1"/>
    <xf numFmtId="0" fontId="0" fillId="2" borderId="11" xfId="0" applyFill="1" applyBorder="1" applyAlignment="1">
      <alignment horizontal="right"/>
    </xf>
    <xf numFmtId="0" fontId="0" fillId="0" borderId="12" xfId="0" applyBorder="1" applyAlignment="1">
      <alignment horizontal="left"/>
    </xf>
    <xf numFmtId="0" fontId="0" fillId="0" borderId="15" xfId="0" applyBorder="1" applyAlignment="1">
      <alignment horizontal="left"/>
    </xf>
    <xf numFmtId="0" fontId="0" fillId="0" borderId="16" xfId="0" applyBorder="1" applyAlignment="1">
      <alignment horizontal="left"/>
    </xf>
    <xf numFmtId="0" fontId="0" fillId="0" borderId="11" xfId="0" applyBorder="1" applyAlignment="1">
      <alignment horizontal="left"/>
    </xf>
    <xf numFmtId="0" fontId="10" fillId="4" borderId="0" xfId="0" applyFont="1" applyFill="1" applyAlignment="1">
      <alignment horizontal="right" vertical="center"/>
    </xf>
    <xf numFmtId="0" fontId="11" fillId="4" borderId="0" xfId="0" applyFont="1" applyFill="1" applyAlignment="1">
      <alignment horizontal="left" vertical="center"/>
    </xf>
    <xf numFmtId="0" fontId="4" fillId="3" borderId="11" xfId="0" applyFont="1" applyFill="1" applyBorder="1" applyAlignment="1">
      <alignment horizontal="center"/>
    </xf>
    <xf numFmtId="0" fontId="4" fillId="3" borderId="12" xfId="0" applyFont="1" applyFill="1" applyBorder="1" applyAlignment="1">
      <alignment horizontal="center"/>
    </xf>
    <xf numFmtId="167" fontId="4" fillId="3" borderId="11" xfId="0" applyNumberFormat="1" applyFont="1" applyFill="1" applyBorder="1" applyAlignment="1">
      <alignment horizontal="center"/>
    </xf>
    <xf numFmtId="0" fontId="12" fillId="4" borderId="0" xfId="0" applyFont="1" applyFill="1" applyAlignment="1">
      <alignment horizontal="right" vertical="center"/>
    </xf>
    <xf numFmtId="0" fontId="9" fillId="4" borderId="15" xfId="0" applyFont="1" applyFill="1" applyBorder="1" applyAlignment="1">
      <alignment horizontal="left" vertical="center"/>
    </xf>
    <xf numFmtId="0" fontId="9" fillId="4" borderId="16" xfId="0" applyFont="1" applyFill="1" applyBorder="1" applyAlignment="1">
      <alignment horizontal="left" vertical="center"/>
    </xf>
    <xf numFmtId="0" fontId="8" fillId="4" borderId="0" xfId="0" applyFont="1" applyFill="1" applyAlignment="1">
      <alignment horizontal="right" vertical="center"/>
    </xf>
    <xf numFmtId="0" fontId="13" fillId="9" borderId="11" xfId="0" applyFont="1" applyFill="1" applyBorder="1" applyAlignment="1">
      <alignment horizontal="center"/>
    </xf>
    <xf numFmtId="0" fontId="15" fillId="11" borderId="0" xfId="0" applyFont="1" applyFill="1" applyAlignment="1">
      <alignment horizontal="center"/>
    </xf>
    <xf numFmtId="0" fontId="14" fillId="11" borderId="0" xfId="0" applyFont="1" applyFill="1" applyAlignment="1">
      <alignment horizontal="center"/>
    </xf>
    <xf numFmtId="0" fontId="16" fillId="11" borderId="0" xfId="0" applyFont="1" applyFill="1" applyAlignment="1">
      <alignment horizontal="center" wrapText="1"/>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303784</xdr:colOff>
      <xdr:row>4</xdr:row>
      <xdr:rowOff>30785</xdr:rowOff>
    </xdr:from>
    <xdr:to>
      <xdr:col>7</xdr:col>
      <xdr:colOff>109854</xdr:colOff>
      <xdr:row>9</xdr:row>
      <xdr:rowOff>17220</xdr:rowOff>
    </xdr:to>
    <xdr:pic>
      <xdr:nvPicPr>
        <xdr:cNvPr id="2" name="Picture 1">
          <a:extLst>
            <a:ext uri="{FF2B5EF4-FFF2-40B4-BE49-F238E27FC236}">
              <a16:creationId xmlns:a16="http://schemas.microsoft.com/office/drawing/2014/main" id="{83598939-51B3-94EC-B2A1-1A01AAD568C0}"/>
            </a:ext>
          </a:extLst>
        </xdr:cNvPr>
        <xdr:cNvPicPr>
          <a:picLocks noChangeAspect="1"/>
        </xdr:cNvPicPr>
      </xdr:nvPicPr>
      <xdr:blipFill>
        <a:blip xmlns:r="http://schemas.openxmlformats.org/officeDocument/2006/relationships" r:embed="rId1"/>
        <a:stretch>
          <a:fillRect/>
        </a:stretch>
      </xdr:blipFill>
      <xdr:spPr>
        <a:xfrm>
          <a:off x="5604654" y="803828"/>
          <a:ext cx="1330070" cy="952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431800</xdr:colOff>
      <xdr:row>5</xdr:row>
      <xdr:rowOff>98387</xdr:rowOff>
    </xdr:from>
    <xdr:to>
      <xdr:col>20</xdr:col>
      <xdr:colOff>203072</xdr:colOff>
      <xdr:row>11</xdr:row>
      <xdr:rowOff>78467</xdr:rowOff>
    </xdr:to>
    <xdr:pic>
      <xdr:nvPicPr>
        <xdr:cNvPr id="2" name="Picture 1">
          <a:extLst>
            <a:ext uri="{FF2B5EF4-FFF2-40B4-BE49-F238E27FC236}">
              <a16:creationId xmlns:a16="http://schemas.microsoft.com/office/drawing/2014/main" id="{1892F501-DAC0-4B79-BDFD-7B9998B8A93E}"/>
            </a:ext>
          </a:extLst>
        </xdr:cNvPr>
        <xdr:cNvPicPr>
          <a:picLocks noChangeAspect="1"/>
        </xdr:cNvPicPr>
      </xdr:nvPicPr>
      <xdr:blipFill>
        <a:blip xmlns:r="http://schemas.openxmlformats.org/officeDocument/2006/relationships" r:embed="rId1"/>
        <a:stretch>
          <a:fillRect/>
        </a:stretch>
      </xdr:blipFill>
      <xdr:spPr>
        <a:xfrm>
          <a:off x="18084800" y="1765262"/>
          <a:ext cx="2501772" cy="18215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28575</xdr:rowOff>
    </xdr:from>
    <xdr:to>
      <xdr:col>7</xdr:col>
      <xdr:colOff>589943</xdr:colOff>
      <xdr:row>36</xdr:row>
      <xdr:rowOff>167449</xdr:rowOff>
    </xdr:to>
    <xdr:pic>
      <xdr:nvPicPr>
        <xdr:cNvPr id="2" name="Picture 1">
          <a:extLst>
            <a:ext uri="{FF2B5EF4-FFF2-40B4-BE49-F238E27FC236}">
              <a16:creationId xmlns:a16="http://schemas.microsoft.com/office/drawing/2014/main" id="{56E8B016-3DC9-4A43-83FA-1EAA21E9D4ED}"/>
            </a:ext>
          </a:extLst>
        </xdr:cNvPr>
        <xdr:cNvPicPr>
          <a:picLocks noChangeAspect="1"/>
        </xdr:cNvPicPr>
      </xdr:nvPicPr>
      <xdr:blipFill>
        <a:blip xmlns:r="http://schemas.openxmlformats.org/officeDocument/2006/relationships" r:embed="rId1"/>
        <a:stretch>
          <a:fillRect/>
        </a:stretch>
      </xdr:blipFill>
      <xdr:spPr>
        <a:xfrm>
          <a:off x="0" y="409575"/>
          <a:ext cx="4857143" cy="6609524"/>
        </a:xfrm>
        <a:prstGeom prst="rect">
          <a:avLst/>
        </a:prstGeom>
      </xdr:spPr>
    </xdr:pic>
    <xdr:clientData/>
  </xdr:twoCellAnchor>
  <xdr:twoCellAnchor editAs="oneCell">
    <xdr:from>
      <xdr:col>0</xdr:col>
      <xdr:colOff>0</xdr:colOff>
      <xdr:row>36</xdr:row>
      <xdr:rowOff>123825</xdr:rowOff>
    </xdr:from>
    <xdr:to>
      <xdr:col>7</xdr:col>
      <xdr:colOff>571500</xdr:colOff>
      <xdr:row>52</xdr:row>
      <xdr:rowOff>168931</xdr:rowOff>
    </xdr:to>
    <xdr:pic>
      <xdr:nvPicPr>
        <xdr:cNvPr id="3" name="Picture 2">
          <a:extLst>
            <a:ext uri="{FF2B5EF4-FFF2-40B4-BE49-F238E27FC236}">
              <a16:creationId xmlns:a16="http://schemas.microsoft.com/office/drawing/2014/main" id="{A909BD33-32F8-4E0A-9FA9-AA4A840E9EDF}"/>
            </a:ext>
          </a:extLst>
        </xdr:cNvPr>
        <xdr:cNvPicPr>
          <a:picLocks noChangeAspect="1"/>
        </xdr:cNvPicPr>
      </xdr:nvPicPr>
      <xdr:blipFill>
        <a:blip xmlns:r="http://schemas.openxmlformats.org/officeDocument/2006/relationships" r:embed="rId2"/>
        <a:stretch>
          <a:fillRect/>
        </a:stretch>
      </xdr:blipFill>
      <xdr:spPr>
        <a:xfrm>
          <a:off x="0" y="7058025"/>
          <a:ext cx="4838700" cy="3083581"/>
        </a:xfrm>
        <a:prstGeom prst="rect">
          <a:avLst/>
        </a:prstGeom>
      </xdr:spPr>
    </xdr:pic>
    <xdr:clientData/>
  </xdr:twoCellAnchor>
  <xdr:twoCellAnchor editAs="oneCell">
    <xdr:from>
      <xdr:col>9</xdr:col>
      <xdr:colOff>0</xdr:colOff>
      <xdr:row>1</xdr:row>
      <xdr:rowOff>0</xdr:rowOff>
    </xdr:from>
    <xdr:to>
      <xdr:col>16</xdr:col>
      <xdr:colOff>435630</xdr:colOff>
      <xdr:row>21</xdr:row>
      <xdr:rowOff>38637</xdr:rowOff>
    </xdr:to>
    <xdr:pic>
      <xdr:nvPicPr>
        <xdr:cNvPr id="4" name="Picture 3">
          <a:extLst>
            <a:ext uri="{FF2B5EF4-FFF2-40B4-BE49-F238E27FC236}">
              <a16:creationId xmlns:a16="http://schemas.microsoft.com/office/drawing/2014/main" id="{B2CBAA02-E04A-4524-957B-7B12A436017C}"/>
            </a:ext>
          </a:extLst>
        </xdr:cNvPr>
        <xdr:cNvPicPr>
          <a:picLocks noChangeAspect="1"/>
        </xdr:cNvPicPr>
      </xdr:nvPicPr>
      <xdr:blipFill>
        <a:blip xmlns:r="http://schemas.openxmlformats.org/officeDocument/2006/relationships" r:embed="rId3"/>
        <a:stretch>
          <a:fillRect/>
        </a:stretch>
      </xdr:blipFill>
      <xdr:spPr>
        <a:xfrm>
          <a:off x="5486400" y="266700"/>
          <a:ext cx="4696480" cy="3848637"/>
        </a:xfrm>
        <a:prstGeom prst="rect">
          <a:avLst/>
        </a:prstGeom>
      </xdr:spPr>
    </xdr:pic>
    <xdr:clientData/>
  </xdr:twoCellAnchor>
  <xdr:twoCellAnchor editAs="oneCell">
    <xdr:from>
      <xdr:col>10</xdr:col>
      <xdr:colOff>225425</xdr:colOff>
      <xdr:row>29</xdr:row>
      <xdr:rowOff>168275</xdr:rowOff>
    </xdr:from>
    <xdr:to>
      <xdr:col>16</xdr:col>
      <xdr:colOff>321199</xdr:colOff>
      <xdr:row>44</xdr:row>
      <xdr:rowOff>16253</xdr:rowOff>
    </xdr:to>
    <xdr:pic>
      <xdr:nvPicPr>
        <xdr:cNvPr id="5" name="Picture 4">
          <a:extLst>
            <a:ext uri="{FF2B5EF4-FFF2-40B4-BE49-F238E27FC236}">
              <a16:creationId xmlns:a16="http://schemas.microsoft.com/office/drawing/2014/main" id="{9401D593-D520-0662-3771-5447FFC9B444}"/>
            </a:ext>
          </a:extLst>
        </xdr:cNvPr>
        <xdr:cNvPicPr>
          <a:picLocks noChangeAspect="1"/>
        </xdr:cNvPicPr>
      </xdr:nvPicPr>
      <xdr:blipFill>
        <a:blip xmlns:r="http://schemas.openxmlformats.org/officeDocument/2006/relationships" r:embed="rId4"/>
        <a:stretch>
          <a:fillRect/>
        </a:stretch>
      </xdr:blipFill>
      <xdr:spPr>
        <a:xfrm>
          <a:off x="6321425" y="5768975"/>
          <a:ext cx="3753374" cy="270547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75BEB-9A96-46EE-A83D-FA2372D4D034}">
  <dimension ref="A1:E16"/>
  <sheetViews>
    <sheetView zoomScale="115" zoomScaleNormal="115" workbookViewId="0">
      <selection activeCell="C15" sqref="C15:E15"/>
    </sheetView>
  </sheetViews>
  <sheetFormatPr defaultColWidth="11.42578125" defaultRowHeight="15" x14ac:dyDescent="0.25"/>
  <cols>
    <col min="1" max="1" width="10.85546875" bestFit="1" customWidth="1"/>
    <col min="2" max="2" width="20.7109375" bestFit="1" customWidth="1"/>
    <col min="3" max="3" width="18.85546875" bestFit="1" customWidth="1"/>
    <col min="4" max="4" width="14.140625" bestFit="1" customWidth="1"/>
    <col min="5" max="5" width="14.85546875" bestFit="1" customWidth="1"/>
  </cols>
  <sheetData>
    <row r="1" spans="1:5" x14ac:dyDescent="0.25">
      <c r="A1" s="5"/>
      <c r="B1" s="14" t="s">
        <v>12</v>
      </c>
      <c r="C1" s="10" t="s">
        <v>13</v>
      </c>
      <c r="D1" s="10" t="s">
        <v>31</v>
      </c>
      <c r="E1" s="10" t="s">
        <v>32</v>
      </c>
    </row>
    <row r="2" spans="1:5" x14ac:dyDescent="0.25">
      <c r="A2" s="1" t="s">
        <v>0</v>
      </c>
      <c r="B2" s="51"/>
      <c r="C2" s="3"/>
      <c r="D2" s="11">
        <f>B2/31</f>
        <v>0</v>
      </c>
      <c r="E2" s="12">
        <f>C2/31</f>
        <v>0</v>
      </c>
    </row>
    <row r="3" spans="1:5" x14ac:dyDescent="0.25">
      <c r="A3" s="1" t="s">
        <v>1</v>
      </c>
      <c r="B3" s="51"/>
      <c r="C3" s="3"/>
      <c r="D3" s="6">
        <f>B3/28</f>
        <v>0</v>
      </c>
      <c r="E3" s="7">
        <f>C3/28</f>
        <v>0</v>
      </c>
    </row>
    <row r="4" spans="1:5" x14ac:dyDescent="0.25">
      <c r="A4" s="1" t="s">
        <v>2</v>
      </c>
      <c r="B4" s="51"/>
      <c r="C4" s="3"/>
      <c r="D4" s="6">
        <f t="shared" ref="D4:E13" si="0">B4/31</f>
        <v>0</v>
      </c>
      <c r="E4" s="7">
        <f t="shared" si="0"/>
        <v>0</v>
      </c>
    </row>
    <row r="5" spans="1:5" x14ac:dyDescent="0.25">
      <c r="A5" s="1" t="s">
        <v>3</v>
      </c>
      <c r="B5" s="51"/>
      <c r="C5" s="3"/>
      <c r="D5" s="6">
        <f>B5/30</f>
        <v>0</v>
      </c>
      <c r="E5" s="7">
        <f>C5/30</f>
        <v>0</v>
      </c>
    </row>
    <row r="6" spans="1:5" x14ac:dyDescent="0.25">
      <c r="A6" s="1" t="s">
        <v>4</v>
      </c>
      <c r="B6" s="51"/>
      <c r="C6" s="3"/>
      <c r="D6" s="6">
        <f>B6/31</f>
        <v>0</v>
      </c>
      <c r="E6" s="7">
        <f>C6/31</f>
        <v>0</v>
      </c>
    </row>
    <row r="7" spans="1:5" x14ac:dyDescent="0.25">
      <c r="A7" s="1" t="s">
        <v>5</v>
      </c>
      <c r="B7" s="51"/>
      <c r="C7" s="3"/>
      <c r="D7" s="6">
        <f>B7/30</f>
        <v>0</v>
      </c>
      <c r="E7" s="7">
        <f>C7/30</f>
        <v>0</v>
      </c>
    </row>
    <row r="8" spans="1:5" x14ac:dyDescent="0.25">
      <c r="A8" s="1" t="s">
        <v>6</v>
      </c>
      <c r="B8" s="51"/>
      <c r="C8" s="3"/>
      <c r="D8" s="6">
        <f>B8/31</f>
        <v>0</v>
      </c>
      <c r="E8" s="7">
        <f>C8/31</f>
        <v>0</v>
      </c>
    </row>
    <row r="9" spans="1:5" x14ac:dyDescent="0.25">
      <c r="A9" s="1" t="s">
        <v>7</v>
      </c>
      <c r="B9" s="51"/>
      <c r="C9" s="3"/>
      <c r="D9" s="6">
        <f t="shared" si="0"/>
        <v>0</v>
      </c>
      <c r="E9" s="7">
        <f t="shared" si="0"/>
        <v>0</v>
      </c>
    </row>
    <row r="10" spans="1:5" x14ac:dyDescent="0.25">
      <c r="A10" s="1" t="s">
        <v>8</v>
      </c>
      <c r="B10" s="51"/>
      <c r="C10" s="3"/>
      <c r="D10" s="6">
        <f>B10/30</f>
        <v>0</v>
      </c>
      <c r="E10" s="7">
        <f>C10/30</f>
        <v>0</v>
      </c>
    </row>
    <row r="11" spans="1:5" x14ac:dyDescent="0.25">
      <c r="A11" s="1" t="s">
        <v>9</v>
      </c>
      <c r="B11" s="51"/>
      <c r="C11" s="3"/>
      <c r="D11" s="6">
        <f t="shared" si="0"/>
        <v>0</v>
      </c>
      <c r="E11" s="7">
        <f t="shared" si="0"/>
        <v>0</v>
      </c>
    </row>
    <row r="12" spans="1:5" x14ac:dyDescent="0.25">
      <c r="A12" s="1" t="s">
        <v>10</v>
      </c>
      <c r="B12" s="51"/>
      <c r="C12" s="3"/>
      <c r="D12" s="6">
        <f>B12/30</f>
        <v>0</v>
      </c>
      <c r="E12" s="7">
        <f>C12/30</f>
        <v>0</v>
      </c>
    </row>
    <row r="13" spans="1:5" x14ac:dyDescent="0.25">
      <c r="A13" s="2" t="s">
        <v>11</v>
      </c>
      <c r="B13" s="52"/>
      <c r="C13" s="4"/>
      <c r="D13" s="8">
        <f t="shared" si="0"/>
        <v>0</v>
      </c>
      <c r="E13" s="9">
        <f t="shared" si="0"/>
        <v>0</v>
      </c>
    </row>
    <row r="14" spans="1:5" x14ac:dyDescent="0.25">
      <c r="A14" s="60" t="s">
        <v>40</v>
      </c>
      <c r="B14" s="60"/>
      <c r="C14" s="61"/>
      <c r="D14" s="62"/>
      <c r="E14" s="63"/>
    </row>
    <row r="15" spans="1:5" x14ac:dyDescent="0.25">
      <c r="A15" s="60" t="s">
        <v>37</v>
      </c>
      <c r="B15" s="60"/>
      <c r="C15" s="61" t="s">
        <v>53</v>
      </c>
      <c r="D15" s="62"/>
      <c r="E15" s="63"/>
    </row>
    <row r="16" spans="1:5" x14ac:dyDescent="0.25">
      <c r="A16" s="60" t="s">
        <v>38</v>
      </c>
      <c r="B16" s="60"/>
      <c r="C16" s="64" t="s">
        <v>54</v>
      </c>
      <c r="D16" s="64"/>
      <c r="E16" s="64"/>
    </row>
  </sheetData>
  <sheetProtection deleteColumns="0" deleteRows="0"/>
  <protectedRanges>
    <protectedRange algorithmName="SHA-512" hashValue="LHp9o5sLSbDi49OYLOp7/0AQcYHpaozq6AftzqiqUWYcWv5bp/IIQA/Q9vswM67xawtrTwphhUN2LVhpUcQavA==" saltValue="bE6aYttl3WI3HYDFmMkjpQ==" spinCount="100000" sqref="A1:E1 D2:E13 A14:B16 A2:A13" name="Range1"/>
  </protectedRanges>
  <mergeCells count="6">
    <mergeCell ref="A14:B14"/>
    <mergeCell ref="C14:E14"/>
    <mergeCell ref="C15:E15"/>
    <mergeCell ref="A15:B15"/>
    <mergeCell ref="A16:B16"/>
    <mergeCell ref="C16:E16"/>
  </mergeCells>
  <phoneticPr fontId="3" type="noConversion"/>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A7D86807-D270-47AC-B2CF-9A3C21B6B150}">
          <x14:formula1>
            <xm:f>'3-Production profile'!$AB$3:$AB$8</xm:f>
          </x14:formula1>
          <xm:sqref>C16:E16</xm:sqref>
        </x14:dataValidation>
        <x14:dataValidation type="list" allowBlank="1" showInputMessage="1" showErrorMessage="1" xr:uid="{1BFD9B56-3E0D-4E8B-A9EF-595C5F111E86}">
          <x14:formula1>
            <xm:f>'2-Consumption profiles'!$AB$3:$AB$11</xm:f>
          </x14:formula1>
          <xm:sqref>C15:E15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3C513-2F39-49D1-8DC0-A6FF4CFF296B}">
  <dimension ref="A1:AB216"/>
  <sheetViews>
    <sheetView topLeftCell="A173" zoomScale="85" zoomScaleNormal="85" workbookViewId="0">
      <selection activeCell="A191" sqref="A191:M191"/>
    </sheetView>
  </sheetViews>
  <sheetFormatPr defaultColWidth="11.42578125" defaultRowHeight="15" x14ac:dyDescent="0.25"/>
  <cols>
    <col min="1" max="1" width="9.28515625" bestFit="1" customWidth="1"/>
    <col min="2" max="5" width="5.85546875" bestFit="1" customWidth="1"/>
    <col min="6" max="6" width="6" bestFit="1" customWidth="1"/>
    <col min="7" max="13" width="5.85546875" bestFit="1" customWidth="1"/>
    <col min="14" max="14" width="9.28515625" style="13" bestFit="1" customWidth="1"/>
    <col min="15" max="17" width="9.85546875" style="13" bestFit="1" customWidth="1"/>
    <col min="18" max="23" width="11" style="13" bestFit="1" customWidth="1"/>
    <col min="24" max="26" width="9.85546875" style="13" bestFit="1" customWidth="1"/>
    <col min="27" max="30" width="0" hidden="1" customWidth="1"/>
  </cols>
  <sheetData>
    <row r="1" spans="1:28" ht="30" customHeight="1" x14ac:dyDescent="0.25">
      <c r="A1" s="65" t="s">
        <v>33</v>
      </c>
      <c r="B1" s="65"/>
      <c r="C1" s="65"/>
      <c r="D1" s="65"/>
      <c r="E1" s="65"/>
      <c r="F1" s="65"/>
      <c r="G1" s="66" t="s">
        <v>28</v>
      </c>
      <c r="H1" s="66"/>
      <c r="I1" s="66"/>
      <c r="J1" s="66"/>
      <c r="K1" s="66"/>
      <c r="L1" s="66"/>
      <c r="M1" s="66"/>
      <c r="N1" s="66"/>
      <c r="O1" s="66"/>
      <c r="P1" s="66"/>
      <c r="Q1" s="66"/>
      <c r="R1" s="66"/>
      <c r="S1" s="66"/>
      <c r="T1" s="66"/>
      <c r="U1" s="66"/>
      <c r="V1" s="66"/>
      <c r="W1" s="66"/>
      <c r="X1" s="66"/>
      <c r="Y1" s="66"/>
      <c r="Z1" s="66"/>
    </row>
    <row r="2" spans="1:28" ht="33.75" x14ac:dyDescent="0.5">
      <c r="A2" s="67" t="s">
        <v>15</v>
      </c>
      <c r="B2" s="67"/>
      <c r="C2" s="67"/>
      <c r="D2" s="67"/>
      <c r="E2" s="67"/>
      <c r="F2" s="67"/>
      <c r="G2" s="67"/>
      <c r="H2" s="67"/>
      <c r="I2" s="67"/>
      <c r="J2" s="67"/>
      <c r="K2" s="67"/>
      <c r="L2" s="67"/>
      <c r="M2" s="68"/>
      <c r="N2" s="69" t="s">
        <v>27</v>
      </c>
      <c r="O2" s="69"/>
      <c r="P2" s="69"/>
      <c r="Q2" s="69"/>
      <c r="R2" s="69"/>
      <c r="S2" s="69"/>
      <c r="T2" s="69"/>
      <c r="U2" s="69"/>
      <c r="V2" s="69"/>
      <c r="W2" s="69"/>
      <c r="X2" s="69"/>
      <c r="Y2" s="69"/>
      <c r="Z2" s="69"/>
      <c r="AB2" t="s">
        <v>39</v>
      </c>
    </row>
    <row r="3" spans="1:28" ht="46.5" x14ac:dyDescent="0.25">
      <c r="A3" s="28" t="s">
        <v>30</v>
      </c>
      <c r="B3" s="29" t="s">
        <v>16</v>
      </c>
      <c r="C3" s="29" t="s">
        <v>17</v>
      </c>
      <c r="D3" s="29" t="s">
        <v>18</v>
      </c>
      <c r="E3" s="29" t="s">
        <v>19</v>
      </c>
      <c r="F3" s="29" t="s">
        <v>4</v>
      </c>
      <c r="G3" s="29" t="s">
        <v>20</v>
      </c>
      <c r="H3" s="29" t="s">
        <v>21</v>
      </c>
      <c r="I3" s="29" t="s">
        <v>22</v>
      </c>
      <c r="J3" s="29" t="s">
        <v>23</v>
      </c>
      <c r="K3" s="29" t="s">
        <v>24</v>
      </c>
      <c r="L3" s="29" t="s">
        <v>25</v>
      </c>
      <c r="M3" s="30" t="s">
        <v>26</v>
      </c>
      <c r="N3" s="40" t="s">
        <v>30</v>
      </c>
      <c r="O3" s="40" t="s">
        <v>16</v>
      </c>
      <c r="P3" s="40" t="s">
        <v>17</v>
      </c>
      <c r="Q3" s="40" t="s">
        <v>18</v>
      </c>
      <c r="R3" s="40" t="s">
        <v>19</v>
      </c>
      <c r="S3" s="40" t="s">
        <v>4</v>
      </c>
      <c r="T3" s="40" t="s">
        <v>20</v>
      </c>
      <c r="U3" s="40" t="s">
        <v>21</v>
      </c>
      <c r="V3" s="40" t="s">
        <v>22</v>
      </c>
      <c r="W3" s="40" t="s">
        <v>23</v>
      </c>
      <c r="X3" s="40" t="s">
        <v>24</v>
      </c>
      <c r="Y3" s="40" t="s">
        <v>25</v>
      </c>
      <c r="Z3" s="40" t="s">
        <v>26</v>
      </c>
      <c r="AB3" t="str">
        <f>G1</f>
        <v>Supermarket with electric heating, with A/C</v>
      </c>
    </row>
    <row r="4" spans="1:28" x14ac:dyDescent="0.25">
      <c r="A4" s="32">
        <v>0</v>
      </c>
      <c r="B4" s="42">
        <v>3.1716993115989703E-2</v>
      </c>
      <c r="C4" s="42">
        <v>3.2898989680561638E-2</v>
      </c>
      <c r="D4" s="42">
        <v>3.2635342983401261E-2</v>
      </c>
      <c r="E4" s="42">
        <v>3.4075371785602319E-2</v>
      </c>
      <c r="F4" s="42">
        <v>3.1788875819775818E-2</v>
      </c>
      <c r="G4" s="42">
        <v>3.2336472384830742E-2</v>
      </c>
      <c r="H4" s="42">
        <v>3.2914413248288789E-2</v>
      </c>
      <c r="I4" s="42">
        <v>3.2523731467436513E-2</v>
      </c>
      <c r="J4" s="42">
        <v>3.3621449352807316E-2</v>
      </c>
      <c r="K4" s="42">
        <v>3.3560424247116194E-2</v>
      </c>
      <c r="L4" s="42">
        <v>3.3132433477605215E-2</v>
      </c>
      <c r="M4" s="42">
        <v>3.2021030829118259E-2</v>
      </c>
      <c r="N4" s="32">
        <v>0</v>
      </c>
      <c r="O4" s="41">
        <f>B4*'1-Data Input'!$D$2</f>
        <v>0</v>
      </c>
      <c r="P4" s="41">
        <f>C4*'1-Data Input'!$D$3</f>
        <v>0</v>
      </c>
      <c r="Q4" s="41">
        <f>D4*'1-Data Input'!$D$4</f>
        <v>0</v>
      </c>
      <c r="R4" s="41">
        <f>E4*'1-Data Input'!$D$5</f>
        <v>0</v>
      </c>
      <c r="S4" s="41">
        <f>F4*'1-Data Input'!$D$6</f>
        <v>0</v>
      </c>
      <c r="T4" s="41">
        <f>G4*'1-Data Input'!$D$7</f>
        <v>0</v>
      </c>
      <c r="U4" s="41">
        <f>H4*'1-Data Input'!$D$8</f>
        <v>0</v>
      </c>
      <c r="V4" s="41">
        <f>I4*'1-Data Input'!$D$9</f>
        <v>0</v>
      </c>
      <c r="W4" s="41">
        <f>J4*'1-Data Input'!$D$10</f>
        <v>0</v>
      </c>
      <c r="X4" s="41">
        <f>K4*'1-Data Input'!$D$11</f>
        <v>0</v>
      </c>
      <c r="Y4" s="41">
        <f>L4*'1-Data Input'!$D$12</f>
        <v>0</v>
      </c>
      <c r="Z4" s="41">
        <f>M4*'1-Data Input'!$D$13</f>
        <v>0</v>
      </c>
      <c r="AB4" t="str">
        <f>G28</f>
        <v>Supermarket with electric heating, no A/C</v>
      </c>
    </row>
    <row r="5" spans="1:28" x14ac:dyDescent="0.25">
      <c r="A5" s="32">
        <v>4.1666666666666699E-2</v>
      </c>
      <c r="B5" s="42">
        <v>3.2567815173515917E-2</v>
      </c>
      <c r="C5" s="42">
        <v>3.3645721521014076E-2</v>
      </c>
      <c r="D5" s="42">
        <v>3.3495587343903267E-2</v>
      </c>
      <c r="E5" s="42">
        <v>3.2637971848504449E-2</v>
      </c>
      <c r="F5" s="42">
        <v>3.217470997221878E-2</v>
      </c>
      <c r="G5" s="42">
        <v>3.1574446424026473E-2</v>
      </c>
      <c r="H5" s="42">
        <v>3.2210666381574826E-2</v>
      </c>
      <c r="I5" s="42">
        <v>3.2110877330332244E-2</v>
      </c>
      <c r="J5" s="42">
        <v>3.3563700384492627E-2</v>
      </c>
      <c r="K5" s="42">
        <v>3.306804985677788E-2</v>
      </c>
      <c r="L5" s="42">
        <v>3.2605556859612715E-2</v>
      </c>
      <c r="M5" s="42">
        <v>3.2396939966906971E-2</v>
      </c>
      <c r="N5" s="32">
        <v>4.1666666666666699E-2</v>
      </c>
      <c r="O5" s="20">
        <f>B5*'1-Data Input'!$D$2</f>
        <v>0</v>
      </c>
      <c r="P5" s="20">
        <f>C5*'1-Data Input'!$D$3</f>
        <v>0</v>
      </c>
      <c r="Q5" s="20">
        <f>D5*'1-Data Input'!$D$4</f>
        <v>0</v>
      </c>
      <c r="R5" s="20">
        <f>E5*'1-Data Input'!$D$5</f>
        <v>0</v>
      </c>
      <c r="S5" s="20">
        <f>F5*'1-Data Input'!$D$6</f>
        <v>0</v>
      </c>
      <c r="T5" s="20">
        <f>G5*'1-Data Input'!$D$7</f>
        <v>0</v>
      </c>
      <c r="U5" s="20">
        <f>H5*'1-Data Input'!$D$8</f>
        <v>0</v>
      </c>
      <c r="V5" s="20">
        <f>I5*'1-Data Input'!$D$9</f>
        <v>0</v>
      </c>
      <c r="W5" s="20">
        <f>J5*'1-Data Input'!$D$10</f>
        <v>0</v>
      </c>
      <c r="X5" s="20">
        <f>K5*'1-Data Input'!$D$11</f>
        <v>0</v>
      </c>
      <c r="Y5" s="20">
        <f>L5*'1-Data Input'!$D$12</f>
        <v>0</v>
      </c>
      <c r="Z5" s="21">
        <f>M5*'1-Data Input'!$D$13</f>
        <v>0</v>
      </c>
      <c r="AB5" t="str">
        <f>G55</f>
        <v>Supermarket with gas heating, with A/C</v>
      </c>
    </row>
    <row r="6" spans="1:28" x14ac:dyDescent="0.25">
      <c r="A6" s="32">
        <v>8.3333333333333301E-2</v>
      </c>
      <c r="B6" s="42">
        <v>3.2911754408384133E-2</v>
      </c>
      <c r="C6" s="42">
        <v>3.224335636408307E-2</v>
      </c>
      <c r="D6" s="42">
        <v>3.210064764381531E-2</v>
      </c>
      <c r="E6" s="42">
        <v>3.2914375371226698E-2</v>
      </c>
      <c r="F6" s="42">
        <v>3.1324898343001652E-2</v>
      </c>
      <c r="G6" s="42">
        <v>3.1224230083990834E-2</v>
      </c>
      <c r="H6" s="42">
        <v>3.2099339193620076E-2</v>
      </c>
      <c r="I6" s="42">
        <v>3.2058451408160271E-2</v>
      </c>
      <c r="J6" s="42">
        <v>3.2462620055292712E-2</v>
      </c>
      <c r="K6" s="42">
        <v>3.3560424247116194E-2</v>
      </c>
      <c r="L6" s="42">
        <v>3.178146779044496E-2</v>
      </c>
      <c r="M6" s="42">
        <v>3.204935192908883E-2</v>
      </c>
      <c r="N6" s="32">
        <v>8.3333333333333301E-2</v>
      </c>
      <c r="O6" s="20">
        <f>B6*'1-Data Input'!$D$2</f>
        <v>0</v>
      </c>
      <c r="P6" s="20">
        <f>C6*'1-Data Input'!$D$3</f>
        <v>0</v>
      </c>
      <c r="Q6" s="20">
        <f>D6*'1-Data Input'!$D$4</f>
        <v>0</v>
      </c>
      <c r="R6" s="20">
        <f>E6*'1-Data Input'!$D$5</f>
        <v>0</v>
      </c>
      <c r="S6" s="20">
        <f>F6*'1-Data Input'!$D$6</f>
        <v>0</v>
      </c>
      <c r="T6" s="20">
        <f>G6*'1-Data Input'!$D$7</f>
        <v>0</v>
      </c>
      <c r="U6" s="20">
        <f>H6*'1-Data Input'!$D$8</f>
        <v>0</v>
      </c>
      <c r="V6" s="20">
        <f>I6*'1-Data Input'!$D$9</f>
        <v>0</v>
      </c>
      <c r="W6" s="20">
        <f>J6*'1-Data Input'!$D$10</f>
        <v>0</v>
      </c>
      <c r="X6" s="20">
        <f>K6*'1-Data Input'!$D$11</f>
        <v>0</v>
      </c>
      <c r="Y6" s="20">
        <f>L6*'1-Data Input'!$D$12</f>
        <v>0</v>
      </c>
      <c r="Z6" s="21">
        <f>M6*'1-Data Input'!$D$13</f>
        <v>0</v>
      </c>
      <c r="AB6" t="str">
        <f>G82</f>
        <v>Supermarket with gas heating, no A/C</v>
      </c>
    </row>
    <row r="7" spans="1:28" x14ac:dyDescent="0.25">
      <c r="A7" s="32">
        <v>0.125</v>
      </c>
      <c r="B7" s="42">
        <v>3.2572090661242184E-2</v>
      </c>
      <c r="C7" s="42">
        <v>3.3692651063667277E-2</v>
      </c>
      <c r="D7" s="42">
        <v>3.3203161043138564E-2</v>
      </c>
      <c r="E7" s="42">
        <v>3.3259879774629506E-2</v>
      </c>
      <c r="F7" s="42">
        <v>2.9766997684821224E-2</v>
      </c>
      <c r="G7" s="42">
        <v>3.1878340544667851E-2</v>
      </c>
      <c r="H7" s="42">
        <v>3.1708368712112314E-2</v>
      </c>
      <c r="I7" s="42">
        <v>3.135725469911016E-2</v>
      </c>
      <c r="J7" s="42">
        <v>3.1917854787524222E-2</v>
      </c>
      <c r="K7" s="42">
        <v>3.2596578152821853E-2</v>
      </c>
      <c r="L7" s="42">
        <v>3.3214757949166542E-2</v>
      </c>
      <c r="M7" s="42">
        <v>3.1809012319246779E-2</v>
      </c>
      <c r="N7" s="32">
        <v>0.125</v>
      </c>
      <c r="O7" s="20">
        <f>B7*'1-Data Input'!$D$2</f>
        <v>0</v>
      </c>
      <c r="P7" s="20">
        <f>C7*'1-Data Input'!$D$3</f>
        <v>0</v>
      </c>
      <c r="Q7" s="20">
        <f>D7*'1-Data Input'!$D$4</f>
        <v>0</v>
      </c>
      <c r="R7" s="20">
        <f>E7*'1-Data Input'!$D$5</f>
        <v>0</v>
      </c>
      <c r="S7" s="20">
        <f>F7*'1-Data Input'!$D$6</f>
        <v>0</v>
      </c>
      <c r="T7" s="20">
        <f>G7*'1-Data Input'!$D$7</f>
        <v>0</v>
      </c>
      <c r="U7" s="20">
        <f>H7*'1-Data Input'!$D$8</f>
        <v>0</v>
      </c>
      <c r="V7" s="20">
        <f>I7*'1-Data Input'!$D$9</f>
        <v>0</v>
      </c>
      <c r="W7" s="20">
        <f>J7*'1-Data Input'!$D$10</f>
        <v>0</v>
      </c>
      <c r="X7" s="20">
        <f>K7*'1-Data Input'!$D$11</f>
        <v>0</v>
      </c>
      <c r="Y7" s="20">
        <f>L7*'1-Data Input'!$D$12</f>
        <v>0</v>
      </c>
      <c r="Z7" s="21">
        <f>M7*'1-Data Input'!$D$13</f>
        <v>0</v>
      </c>
      <c r="AB7" t="str">
        <f>G109</f>
        <v>Office building with electric heating, with A/C</v>
      </c>
    </row>
    <row r="8" spans="1:28" x14ac:dyDescent="0.25">
      <c r="A8" s="32">
        <v>0.16666666666666699</v>
      </c>
      <c r="B8" s="42">
        <v>3.5024795453541362E-2</v>
      </c>
      <c r="C8" s="42">
        <v>3.5837607219051916E-2</v>
      </c>
      <c r="D8" s="42">
        <v>3.5426168747010087E-2</v>
      </c>
      <c r="E8" s="42">
        <v>3.5497528881373606E-2</v>
      </c>
      <c r="F8" s="42">
        <v>3.3512011144586094E-2</v>
      </c>
      <c r="G8" s="42">
        <v>3.4445405955713923E-2</v>
      </c>
      <c r="H8" s="42">
        <v>3.4230459648753889E-2</v>
      </c>
      <c r="I8" s="42">
        <v>3.2624651367617552E-2</v>
      </c>
      <c r="J8" s="42">
        <v>3.3457442282793612E-2</v>
      </c>
      <c r="K8" s="42">
        <v>3.3667260199736773E-2</v>
      </c>
      <c r="L8" s="42">
        <v>3.3319879966698697E-2</v>
      </c>
      <c r="M8" s="42">
        <v>3.3039966844206452E-2</v>
      </c>
      <c r="N8" s="32">
        <v>0.16666666666666699</v>
      </c>
      <c r="O8" s="20">
        <f>B8*'1-Data Input'!$D$2</f>
        <v>0</v>
      </c>
      <c r="P8" s="20">
        <f>C8*'1-Data Input'!$D$3</f>
        <v>0</v>
      </c>
      <c r="Q8" s="20">
        <f>D8*'1-Data Input'!$D$4</f>
        <v>0</v>
      </c>
      <c r="R8" s="20">
        <f>E8*'1-Data Input'!$D$5</f>
        <v>0</v>
      </c>
      <c r="S8" s="20">
        <f>F8*'1-Data Input'!$D$6</f>
        <v>0</v>
      </c>
      <c r="T8" s="20">
        <f>G8*'1-Data Input'!$D$7</f>
        <v>0</v>
      </c>
      <c r="U8" s="20">
        <f>H8*'1-Data Input'!$D$8</f>
        <v>0</v>
      </c>
      <c r="V8" s="20">
        <f>I8*'1-Data Input'!$D$9</f>
        <v>0</v>
      </c>
      <c r="W8" s="20">
        <f>J8*'1-Data Input'!$D$10</f>
        <v>0</v>
      </c>
      <c r="X8" s="20">
        <f>K8*'1-Data Input'!$D$11</f>
        <v>0</v>
      </c>
      <c r="Y8" s="20">
        <f>L8*'1-Data Input'!$D$12</f>
        <v>0</v>
      </c>
      <c r="Z8" s="21">
        <f>M8*'1-Data Input'!$D$13</f>
        <v>0</v>
      </c>
      <c r="AB8" t="str">
        <f>G136</f>
        <v>Office building with gas heating, with A/C</v>
      </c>
    </row>
    <row r="9" spans="1:28" x14ac:dyDescent="0.25">
      <c r="A9" s="32">
        <v>0.20833333333333301</v>
      </c>
      <c r="B9" s="42">
        <v>4.1358217938711354E-2</v>
      </c>
      <c r="C9" s="42">
        <v>4.2595461361113161E-2</v>
      </c>
      <c r="D9" s="42">
        <v>4.348539974154815E-2</v>
      </c>
      <c r="E9" s="42">
        <v>4.290351738725505E-2</v>
      </c>
      <c r="F9" s="42">
        <v>4.4387789912418006E-2</v>
      </c>
      <c r="G9" s="42">
        <v>4.7045049630949347E-2</v>
      </c>
      <c r="H9" s="42">
        <v>4.2604738120461325E-2</v>
      </c>
      <c r="I9" s="42">
        <v>4.3487302441649944E-2</v>
      </c>
      <c r="J9" s="42">
        <v>4.2310744118556322E-2</v>
      </c>
      <c r="K9" s="42">
        <v>4.2293102113493838E-2</v>
      </c>
      <c r="L9" s="42">
        <v>4.2437209647921456E-2</v>
      </c>
      <c r="M9" s="42">
        <v>4.2852682348140339E-2</v>
      </c>
      <c r="N9" s="32">
        <v>0.20833333333333301</v>
      </c>
      <c r="O9" s="20">
        <f>B9*'1-Data Input'!$D$2</f>
        <v>0</v>
      </c>
      <c r="P9" s="20">
        <f>C9*'1-Data Input'!$D$3</f>
        <v>0</v>
      </c>
      <c r="Q9" s="20">
        <f>D9*'1-Data Input'!$D$4</f>
        <v>0</v>
      </c>
      <c r="R9" s="20">
        <f>E9*'1-Data Input'!$D$5</f>
        <v>0</v>
      </c>
      <c r="S9" s="20">
        <f>F9*'1-Data Input'!$D$6</f>
        <v>0</v>
      </c>
      <c r="T9" s="20">
        <f>G9*'1-Data Input'!$D$7</f>
        <v>0</v>
      </c>
      <c r="U9" s="20">
        <f>H9*'1-Data Input'!$D$8</f>
        <v>0</v>
      </c>
      <c r="V9" s="20">
        <f>I9*'1-Data Input'!$D$9</f>
        <v>0</v>
      </c>
      <c r="W9" s="20">
        <f>J9*'1-Data Input'!$D$10</f>
        <v>0</v>
      </c>
      <c r="X9" s="20">
        <f>K9*'1-Data Input'!$D$11</f>
        <v>0</v>
      </c>
      <c r="Y9" s="20">
        <f>L9*'1-Data Input'!$D$12</f>
        <v>0</v>
      </c>
      <c r="Z9" s="21">
        <f>M9*'1-Data Input'!$D$13</f>
        <v>0</v>
      </c>
      <c r="AB9" t="str">
        <f>G163</f>
        <v>Office building with electric heating, no A/C</v>
      </c>
    </row>
    <row r="10" spans="1:28" x14ac:dyDescent="0.25">
      <c r="A10" s="32">
        <v>0.25</v>
      </c>
      <c r="B10" s="42">
        <v>5.0856926503890933E-2</v>
      </c>
      <c r="C10" s="42">
        <v>4.9828132052371521E-2</v>
      </c>
      <c r="D10" s="42">
        <v>4.7512176148518499E-2</v>
      </c>
      <c r="E10" s="42">
        <v>4.7290915215759878E-2</v>
      </c>
      <c r="F10" s="42">
        <v>5.3154763539765323E-2</v>
      </c>
      <c r="G10" s="42">
        <v>5.298294731483838E-2</v>
      </c>
      <c r="H10" s="42">
        <v>4.9494212311550032E-2</v>
      </c>
      <c r="I10" s="42">
        <v>5.105629495522826E-2</v>
      </c>
      <c r="J10" s="42">
        <v>4.8820977813231366E-2</v>
      </c>
      <c r="K10" s="42">
        <v>5.0607726252225746E-2</v>
      </c>
      <c r="L10" s="42">
        <v>5.0933517289827743E-2</v>
      </c>
      <c r="M10" s="42">
        <v>5.2680363864535736E-2</v>
      </c>
      <c r="N10" s="32">
        <v>0.25</v>
      </c>
      <c r="O10" s="20">
        <f>B10*'1-Data Input'!$D$2</f>
        <v>0</v>
      </c>
      <c r="P10" s="20">
        <f>C10*'1-Data Input'!$D$3</f>
        <v>0</v>
      </c>
      <c r="Q10" s="20">
        <f>D10*'1-Data Input'!$D$4</f>
        <v>0</v>
      </c>
      <c r="R10" s="20">
        <f>E10*'1-Data Input'!$D$5</f>
        <v>0</v>
      </c>
      <c r="S10" s="20">
        <f>F10*'1-Data Input'!$D$6</f>
        <v>0</v>
      </c>
      <c r="T10" s="20">
        <f>G10*'1-Data Input'!$D$7</f>
        <v>0</v>
      </c>
      <c r="U10" s="20">
        <f>H10*'1-Data Input'!$D$8</f>
        <v>0</v>
      </c>
      <c r="V10" s="20">
        <f>I10*'1-Data Input'!$D$9</f>
        <v>0</v>
      </c>
      <c r="W10" s="20">
        <f>J10*'1-Data Input'!$D$10</f>
        <v>0</v>
      </c>
      <c r="X10" s="20">
        <f>K10*'1-Data Input'!$D$11</f>
        <v>0</v>
      </c>
      <c r="Y10" s="20">
        <f>L10*'1-Data Input'!$D$12</f>
        <v>0</v>
      </c>
      <c r="Z10" s="21">
        <f>M10*'1-Data Input'!$D$13</f>
        <v>0</v>
      </c>
      <c r="AB10" t="str">
        <f>G190</f>
        <v>Papetterie</v>
      </c>
    </row>
    <row r="11" spans="1:28" x14ac:dyDescent="0.25">
      <c r="A11" s="32">
        <v>0.29166666666666702</v>
      </c>
      <c r="B11" s="42">
        <v>5.0114416802096697E-2</v>
      </c>
      <c r="C11" s="42">
        <v>4.9513428060461807E-2</v>
      </c>
      <c r="D11" s="42">
        <v>4.9723827491195284E-2</v>
      </c>
      <c r="E11" s="42">
        <v>5.0197725056741471E-2</v>
      </c>
      <c r="F11" s="42">
        <v>5.0334037227408264E-2</v>
      </c>
      <c r="G11" s="42">
        <v>4.9533214558411809E-2</v>
      </c>
      <c r="H11" s="42">
        <v>4.8718897966865148E-2</v>
      </c>
      <c r="I11" s="42">
        <v>4.8782320581019015E-2</v>
      </c>
      <c r="J11" s="42">
        <v>4.6915261858846889E-2</v>
      </c>
      <c r="K11" s="42">
        <v>4.9102732832701085E-2</v>
      </c>
      <c r="L11" s="42">
        <v>5.0433237808801205E-2</v>
      </c>
      <c r="M11" s="42">
        <v>5.0744759586179689E-2</v>
      </c>
      <c r="N11" s="32">
        <v>0.29166666666666702</v>
      </c>
      <c r="O11" s="20">
        <f>B11*'1-Data Input'!$D$2</f>
        <v>0</v>
      </c>
      <c r="P11" s="20">
        <f>C11*'1-Data Input'!$D$3</f>
        <v>0</v>
      </c>
      <c r="Q11" s="20">
        <f>D11*'1-Data Input'!$D$4</f>
        <v>0</v>
      </c>
      <c r="R11" s="20">
        <f>E11*'1-Data Input'!$D$5</f>
        <v>0</v>
      </c>
      <c r="S11" s="20">
        <f>F11*'1-Data Input'!$D$6</f>
        <v>0</v>
      </c>
      <c r="T11" s="20">
        <f>G11*'1-Data Input'!$D$7</f>
        <v>0</v>
      </c>
      <c r="U11" s="20">
        <f>H11*'1-Data Input'!$D$8</f>
        <v>0</v>
      </c>
      <c r="V11" s="20">
        <f>I11*'1-Data Input'!$D$9</f>
        <v>0</v>
      </c>
      <c r="W11" s="20">
        <f>J11*'1-Data Input'!$D$10</f>
        <v>0</v>
      </c>
      <c r="X11" s="20">
        <f>K11*'1-Data Input'!$D$11</f>
        <v>0</v>
      </c>
      <c r="Y11" s="20">
        <f>L11*'1-Data Input'!$D$12</f>
        <v>0</v>
      </c>
      <c r="Z11" s="21">
        <f>M11*'1-Data Input'!$D$13</f>
        <v>0</v>
      </c>
      <c r="AB11" t="str">
        <f>G190</f>
        <v>Papetterie</v>
      </c>
    </row>
    <row r="12" spans="1:28" x14ac:dyDescent="0.25">
      <c r="A12" s="32">
        <v>0.33333333333333298</v>
      </c>
      <c r="B12" s="42">
        <v>5.2417479523976691E-2</v>
      </c>
      <c r="C12" s="42">
        <v>5.1015173425364303E-2</v>
      </c>
      <c r="D12" s="42">
        <v>4.9097334898618457E-2</v>
      </c>
      <c r="E12" s="42">
        <v>5.0829794877084271E-2</v>
      </c>
      <c r="F12" s="42">
        <v>4.9922509378443357E-2</v>
      </c>
      <c r="G12" s="42">
        <v>4.9926189870195974E-2</v>
      </c>
      <c r="H12" s="42">
        <v>4.7181522514156679E-2</v>
      </c>
      <c r="I12" s="42">
        <v>4.7489147834110401E-2</v>
      </c>
      <c r="J12" s="42">
        <v>4.7816145764555923E-2</v>
      </c>
      <c r="K12" s="42">
        <v>4.9214213826739947E-2</v>
      </c>
      <c r="L12" s="42">
        <v>5.0011061031563629E-2</v>
      </c>
      <c r="M12" s="42">
        <v>5.0801297855478753E-2</v>
      </c>
      <c r="N12" s="32">
        <v>0.33333333333333298</v>
      </c>
      <c r="O12" s="20">
        <f>B12*'1-Data Input'!$D$2</f>
        <v>0</v>
      </c>
      <c r="P12" s="20">
        <f>C12*'1-Data Input'!$D$3</f>
        <v>0</v>
      </c>
      <c r="Q12" s="20">
        <f>D12*'1-Data Input'!$D$4</f>
        <v>0</v>
      </c>
      <c r="R12" s="20">
        <f>E12*'1-Data Input'!$D$5</f>
        <v>0</v>
      </c>
      <c r="S12" s="20">
        <f>F12*'1-Data Input'!$D$6</f>
        <v>0</v>
      </c>
      <c r="T12" s="20">
        <f>G12*'1-Data Input'!$D$7</f>
        <v>0</v>
      </c>
      <c r="U12" s="20">
        <f>H12*'1-Data Input'!$D$8</f>
        <v>0</v>
      </c>
      <c r="V12" s="20">
        <f>I12*'1-Data Input'!$D$9</f>
        <v>0</v>
      </c>
      <c r="W12" s="20">
        <f>J12*'1-Data Input'!$D$10</f>
        <v>0</v>
      </c>
      <c r="X12" s="20">
        <f>K12*'1-Data Input'!$D$11</f>
        <v>0</v>
      </c>
      <c r="Y12" s="20">
        <f>L12*'1-Data Input'!$D$12</f>
        <v>0</v>
      </c>
      <c r="Z12" s="21">
        <f>M12*'1-Data Input'!$D$13</f>
        <v>0</v>
      </c>
    </row>
    <row r="13" spans="1:28" x14ac:dyDescent="0.25">
      <c r="A13" s="32">
        <v>0.375</v>
      </c>
      <c r="B13" s="42">
        <v>4.8947208652827069E-2</v>
      </c>
      <c r="C13" s="42">
        <v>5.2050383925067313E-2</v>
      </c>
      <c r="D13" s="42">
        <v>5.2572854605927179E-2</v>
      </c>
      <c r="E13" s="42">
        <v>5.1513182263226591E-2</v>
      </c>
      <c r="F13" s="42">
        <v>5.2940196880545652E-2</v>
      </c>
      <c r="G13" s="42">
        <v>4.939424790022906E-2</v>
      </c>
      <c r="H13" s="42">
        <v>4.9626744678162832E-2</v>
      </c>
      <c r="I13" s="42">
        <v>4.9024790471064388E-2</v>
      </c>
      <c r="J13" s="42">
        <v>4.841096013819713E-2</v>
      </c>
      <c r="K13" s="42">
        <v>4.8354881164357037E-2</v>
      </c>
      <c r="L13" s="42">
        <v>4.9806305294603406E-2</v>
      </c>
      <c r="M13" s="42">
        <v>5.2144081751331423E-2</v>
      </c>
      <c r="N13" s="32">
        <v>0.375</v>
      </c>
      <c r="O13" s="20">
        <f>B13*'1-Data Input'!$D$2</f>
        <v>0</v>
      </c>
      <c r="P13" s="20">
        <f>C13*'1-Data Input'!$D$3</f>
        <v>0</v>
      </c>
      <c r="Q13" s="20">
        <f>D13*'1-Data Input'!$D$4</f>
        <v>0</v>
      </c>
      <c r="R13" s="20">
        <f>E13*'1-Data Input'!$D$5</f>
        <v>0</v>
      </c>
      <c r="S13" s="20">
        <f>F13*'1-Data Input'!$D$6</f>
        <v>0</v>
      </c>
      <c r="T13" s="20">
        <f>G13*'1-Data Input'!$D$7</f>
        <v>0</v>
      </c>
      <c r="U13" s="20">
        <f>H13*'1-Data Input'!$D$8</f>
        <v>0</v>
      </c>
      <c r="V13" s="20">
        <f>I13*'1-Data Input'!$D$9</f>
        <v>0</v>
      </c>
      <c r="W13" s="20">
        <f>J13*'1-Data Input'!$D$10</f>
        <v>0</v>
      </c>
      <c r="X13" s="20">
        <f>K13*'1-Data Input'!$D$11</f>
        <v>0</v>
      </c>
      <c r="Y13" s="20">
        <f>L13*'1-Data Input'!$D$12</f>
        <v>0</v>
      </c>
      <c r="Z13" s="21">
        <f>M13*'1-Data Input'!$D$13</f>
        <v>0</v>
      </c>
    </row>
    <row r="14" spans="1:28" x14ac:dyDescent="0.25">
      <c r="A14" s="32">
        <v>0.41666666666666702</v>
      </c>
      <c r="B14" s="42">
        <v>5.2634104235440654E-2</v>
      </c>
      <c r="C14" s="42">
        <v>5.1677708145174236E-2</v>
      </c>
      <c r="D14" s="42">
        <v>5.2046203355520827E-2</v>
      </c>
      <c r="E14" s="42">
        <v>5.2075643108177937E-2</v>
      </c>
      <c r="F14" s="42">
        <v>5.2090182807483107E-2</v>
      </c>
      <c r="G14" s="42">
        <v>5.0180707559175364E-2</v>
      </c>
      <c r="H14" s="42">
        <v>5.066977440340556E-2</v>
      </c>
      <c r="I14" s="42">
        <v>5.1309250029708021E-2</v>
      </c>
      <c r="J14" s="42">
        <v>4.9197501086643086E-2</v>
      </c>
      <c r="K14" s="42">
        <v>5.0324378725710286E-2</v>
      </c>
      <c r="L14" s="42">
        <v>4.9794906521617992E-2</v>
      </c>
      <c r="M14" s="42">
        <v>5.2126621403459646E-2</v>
      </c>
      <c r="N14" s="32">
        <v>0.41666666666666702</v>
      </c>
      <c r="O14" s="20">
        <f>B14*'1-Data Input'!$D$2</f>
        <v>0</v>
      </c>
      <c r="P14" s="20">
        <f>C14*'1-Data Input'!$D$3</f>
        <v>0</v>
      </c>
      <c r="Q14" s="20">
        <f>D14*'1-Data Input'!$D$4</f>
        <v>0</v>
      </c>
      <c r="R14" s="20">
        <f>E14*'1-Data Input'!$D$5</f>
        <v>0</v>
      </c>
      <c r="S14" s="20">
        <f>F14*'1-Data Input'!$D$6</f>
        <v>0</v>
      </c>
      <c r="T14" s="20">
        <f>G14*'1-Data Input'!$D$7</f>
        <v>0</v>
      </c>
      <c r="U14" s="20">
        <f>H14*'1-Data Input'!$D$8</f>
        <v>0</v>
      </c>
      <c r="V14" s="20">
        <f>I14*'1-Data Input'!$D$9</f>
        <v>0</v>
      </c>
      <c r="W14" s="20">
        <f>J14*'1-Data Input'!$D$10</f>
        <v>0</v>
      </c>
      <c r="X14" s="20">
        <f>K14*'1-Data Input'!$D$11</f>
        <v>0</v>
      </c>
      <c r="Y14" s="20">
        <f>L14*'1-Data Input'!$D$12</f>
        <v>0</v>
      </c>
      <c r="Z14" s="21">
        <f>M14*'1-Data Input'!$D$13</f>
        <v>0</v>
      </c>
    </row>
    <row r="15" spans="1:28" x14ac:dyDescent="0.25">
      <c r="A15" s="32">
        <v>0.45833333333333298</v>
      </c>
      <c r="B15" s="42">
        <v>5.1077826703081149E-2</v>
      </c>
      <c r="C15" s="42">
        <v>4.9818930181263051E-2</v>
      </c>
      <c r="D15" s="42">
        <v>5.3024743145134778E-2</v>
      </c>
      <c r="E15" s="42">
        <v>5.1358213376406212E-2</v>
      </c>
      <c r="F15" s="42">
        <v>5.2112189644326151E-2</v>
      </c>
      <c r="G15" s="42">
        <v>5.0740646474930005E-2</v>
      </c>
      <c r="H15" s="42">
        <v>5.0795238377132346E-2</v>
      </c>
      <c r="I15" s="42">
        <v>5.1954088872423261E-2</v>
      </c>
      <c r="J15" s="42">
        <v>5.0033706147839668E-2</v>
      </c>
      <c r="K15" s="42">
        <v>5.0801269644654326E-2</v>
      </c>
      <c r="L15" s="42">
        <v>5.0137714064734898E-2</v>
      </c>
      <c r="M15" s="42">
        <v>5.2588904899493145E-2</v>
      </c>
      <c r="N15" s="32">
        <v>0.45833333333333298</v>
      </c>
      <c r="O15" s="20">
        <f>B15*'1-Data Input'!$D$2</f>
        <v>0</v>
      </c>
      <c r="P15" s="20">
        <f>C15*'1-Data Input'!$D$3</f>
        <v>0</v>
      </c>
      <c r="Q15" s="20">
        <f>D15*'1-Data Input'!$D$4</f>
        <v>0</v>
      </c>
      <c r="R15" s="20">
        <f>E15*'1-Data Input'!$D$5</f>
        <v>0</v>
      </c>
      <c r="S15" s="20">
        <f>F15*'1-Data Input'!$D$6</f>
        <v>0</v>
      </c>
      <c r="T15" s="20">
        <f>G15*'1-Data Input'!$D$7</f>
        <v>0</v>
      </c>
      <c r="U15" s="20">
        <f>H15*'1-Data Input'!$D$8</f>
        <v>0</v>
      </c>
      <c r="V15" s="20">
        <f>I15*'1-Data Input'!$D$9</f>
        <v>0</v>
      </c>
      <c r="W15" s="20">
        <f>J15*'1-Data Input'!$D$10</f>
        <v>0</v>
      </c>
      <c r="X15" s="20">
        <f>K15*'1-Data Input'!$D$11</f>
        <v>0</v>
      </c>
      <c r="Y15" s="20">
        <f>L15*'1-Data Input'!$D$12</f>
        <v>0</v>
      </c>
      <c r="Z15" s="21">
        <f>M15*'1-Data Input'!$D$13</f>
        <v>0</v>
      </c>
    </row>
    <row r="16" spans="1:28" x14ac:dyDescent="0.25">
      <c r="A16" s="32">
        <v>0.5</v>
      </c>
      <c r="B16" s="42">
        <v>5.1605136855986847E-2</v>
      </c>
      <c r="C16" s="42">
        <v>5.0352638705554377E-2</v>
      </c>
      <c r="D16" s="42">
        <v>5.2083111529403758E-2</v>
      </c>
      <c r="E16" s="42">
        <v>5.0651961728273992E-2</v>
      </c>
      <c r="F16" s="42">
        <v>5.1628039233779205E-2</v>
      </c>
      <c r="G16" s="42">
        <v>5.0577755153983203E-2</v>
      </c>
      <c r="H16" s="42">
        <v>5.1866541673919138E-2</v>
      </c>
      <c r="I16" s="42">
        <v>5.1233232442558667E-2</v>
      </c>
      <c r="J16" s="42">
        <v>5.0564996656334731E-2</v>
      </c>
      <c r="K16" s="42">
        <v>4.9760006193388544E-2</v>
      </c>
      <c r="L16" s="42">
        <v>5.1034839716364758E-2</v>
      </c>
      <c r="M16" s="42">
        <v>5.1121404233127832E-2</v>
      </c>
      <c r="N16" s="32">
        <v>0.5</v>
      </c>
      <c r="O16" s="20">
        <f>B16*'1-Data Input'!$D$2</f>
        <v>0</v>
      </c>
      <c r="P16" s="20">
        <f>C16*'1-Data Input'!$D$3</f>
        <v>0</v>
      </c>
      <c r="Q16" s="20">
        <f>D16*'1-Data Input'!$D$4</f>
        <v>0</v>
      </c>
      <c r="R16" s="20">
        <f>E16*'1-Data Input'!$D$5</f>
        <v>0</v>
      </c>
      <c r="S16" s="20">
        <f>F16*'1-Data Input'!$D$6</f>
        <v>0</v>
      </c>
      <c r="T16" s="20">
        <f>G16*'1-Data Input'!$D$7</f>
        <v>0</v>
      </c>
      <c r="U16" s="20">
        <f>H16*'1-Data Input'!$D$8</f>
        <v>0</v>
      </c>
      <c r="V16" s="20">
        <f>I16*'1-Data Input'!$D$9</f>
        <v>0</v>
      </c>
      <c r="W16" s="20">
        <f>J16*'1-Data Input'!$D$10</f>
        <v>0</v>
      </c>
      <c r="X16" s="20">
        <f>K16*'1-Data Input'!$D$11</f>
        <v>0</v>
      </c>
      <c r="Y16" s="20">
        <f>L16*'1-Data Input'!$D$12</f>
        <v>0</v>
      </c>
      <c r="Z16" s="21">
        <f>M16*'1-Data Input'!$D$13</f>
        <v>0</v>
      </c>
    </row>
    <row r="17" spans="1:26" x14ac:dyDescent="0.25">
      <c r="A17" s="32">
        <v>0.54166666666666696</v>
      </c>
      <c r="B17" s="42">
        <v>4.9173809502318977E-2</v>
      </c>
      <c r="C17" s="42">
        <v>4.8657654047373988E-2</v>
      </c>
      <c r="D17" s="42">
        <v>4.9712471130000532E-2</v>
      </c>
      <c r="E17" s="42">
        <v>4.9722148407351723E-2</v>
      </c>
      <c r="F17" s="42">
        <v>5.2565530483292836E-2</v>
      </c>
      <c r="G17" s="42">
        <v>5.0156273861033343E-2</v>
      </c>
      <c r="H17" s="42">
        <v>5.1464968603082362E-2</v>
      </c>
      <c r="I17" s="42">
        <v>5.1251581515318854E-2</v>
      </c>
      <c r="J17" s="42">
        <v>4.9955167550931705E-2</v>
      </c>
      <c r="K17" s="42">
        <v>4.8457072075559326E-2</v>
      </c>
      <c r="L17" s="42">
        <v>4.939974905812361E-2</v>
      </c>
      <c r="M17" s="42">
        <v>5.0460405349410896E-2</v>
      </c>
      <c r="N17" s="32">
        <v>0.54166666666666696</v>
      </c>
      <c r="O17" s="20">
        <f>B17*'1-Data Input'!$D$2</f>
        <v>0</v>
      </c>
      <c r="P17" s="20">
        <f>C17*'1-Data Input'!$D$3</f>
        <v>0</v>
      </c>
      <c r="Q17" s="20">
        <f>D17*'1-Data Input'!$D$4</f>
        <v>0</v>
      </c>
      <c r="R17" s="20">
        <f>E17*'1-Data Input'!$D$5</f>
        <v>0</v>
      </c>
      <c r="S17" s="20">
        <f>F17*'1-Data Input'!$D$6</f>
        <v>0</v>
      </c>
      <c r="T17" s="20">
        <f>G17*'1-Data Input'!$D$7</f>
        <v>0</v>
      </c>
      <c r="U17" s="20">
        <f>H17*'1-Data Input'!$D$8</f>
        <v>0</v>
      </c>
      <c r="V17" s="20">
        <f>I17*'1-Data Input'!$D$9</f>
        <v>0</v>
      </c>
      <c r="W17" s="20">
        <f>J17*'1-Data Input'!$D$10</f>
        <v>0</v>
      </c>
      <c r="X17" s="20">
        <f>K17*'1-Data Input'!$D$11</f>
        <v>0</v>
      </c>
      <c r="Y17" s="20">
        <f>L17*'1-Data Input'!$D$12</f>
        <v>0</v>
      </c>
      <c r="Z17" s="21">
        <f>M17*'1-Data Input'!$D$13</f>
        <v>0</v>
      </c>
    </row>
    <row r="18" spans="1:26" x14ac:dyDescent="0.25">
      <c r="A18" s="32">
        <v>0.58333333333333304</v>
      </c>
      <c r="B18" s="42">
        <v>4.7989974456336099E-2</v>
      </c>
      <c r="C18" s="42">
        <v>4.760127924412149E-2</v>
      </c>
      <c r="D18" s="42">
        <v>4.926768031653965E-2</v>
      </c>
      <c r="E18" s="42">
        <v>4.8878711187280148E-2</v>
      </c>
      <c r="F18" s="42">
        <v>5.043967004425487E-2</v>
      </c>
      <c r="G18" s="42">
        <v>4.8236192415372865E-2</v>
      </c>
      <c r="H18" s="42">
        <v>4.9593611586509628E-2</v>
      </c>
      <c r="I18" s="42">
        <v>4.8922123040144275E-2</v>
      </c>
      <c r="J18" s="42">
        <v>4.7554350441529357E-2</v>
      </c>
      <c r="K18" s="42">
        <v>4.6953627003174105E-2</v>
      </c>
      <c r="L18" s="42">
        <v>4.8921844946290677E-2</v>
      </c>
      <c r="M18" s="42">
        <v>4.7117995899672353E-2</v>
      </c>
      <c r="N18" s="32">
        <v>0.58333333333333304</v>
      </c>
      <c r="O18" s="20">
        <f>B18*'1-Data Input'!$D$2</f>
        <v>0</v>
      </c>
      <c r="P18" s="20">
        <f>C18*'1-Data Input'!$D$3</f>
        <v>0</v>
      </c>
      <c r="Q18" s="20">
        <f>D18*'1-Data Input'!$D$4</f>
        <v>0</v>
      </c>
      <c r="R18" s="20">
        <f>E18*'1-Data Input'!$D$5</f>
        <v>0</v>
      </c>
      <c r="S18" s="20">
        <f>F18*'1-Data Input'!$D$6</f>
        <v>0</v>
      </c>
      <c r="T18" s="20">
        <f>G18*'1-Data Input'!$D$7</f>
        <v>0</v>
      </c>
      <c r="U18" s="20">
        <f>H18*'1-Data Input'!$D$8</f>
        <v>0</v>
      </c>
      <c r="V18" s="20">
        <f>I18*'1-Data Input'!$D$9</f>
        <v>0</v>
      </c>
      <c r="W18" s="20">
        <f>J18*'1-Data Input'!$D$10</f>
        <v>0</v>
      </c>
      <c r="X18" s="20">
        <f>K18*'1-Data Input'!$D$11</f>
        <v>0</v>
      </c>
      <c r="Y18" s="20">
        <f>L18*'1-Data Input'!$D$12</f>
        <v>0</v>
      </c>
      <c r="Z18" s="21">
        <f>M18*'1-Data Input'!$D$13</f>
        <v>0</v>
      </c>
    </row>
    <row r="19" spans="1:26" x14ac:dyDescent="0.25">
      <c r="A19" s="32">
        <v>0.625</v>
      </c>
      <c r="B19" s="42">
        <v>4.667407434503091E-2</v>
      </c>
      <c r="C19" s="42">
        <v>4.6018557413464445E-2</v>
      </c>
      <c r="D19" s="42">
        <v>4.6106826450668686E-2</v>
      </c>
      <c r="E19" s="42">
        <v>4.6140080695601979E-2</v>
      </c>
      <c r="F19" s="42">
        <v>4.8475559856013269E-2</v>
      </c>
      <c r="G19" s="42">
        <v>4.7164672944769663E-2</v>
      </c>
      <c r="H19" s="42">
        <v>4.6962844109245554E-2</v>
      </c>
      <c r="I19" s="42">
        <v>4.6272429557035907E-2</v>
      </c>
      <c r="J19" s="42">
        <v>4.6845963096869274E-2</v>
      </c>
      <c r="K19" s="42">
        <v>4.6131067585352632E-2</v>
      </c>
      <c r="L19" s="42">
        <v>4.6082706119367954E-2</v>
      </c>
      <c r="M19" s="42">
        <v>4.6363459438070929E-2</v>
      </c>
      <c r="N19" s="32">
        <v>0.625</v>
      </c>
      <c r="O19" s="20">
        <f>B19*'1-Data Input'!$D$2</f>
        <v>0</v>
      </c>
      <c r="P19" s="20">
        <f>C19*'1-Data Input'!$D$3</f>
        <v>0</v>
      </c>
      <c r="Q19" s="20">
        <f>D19*'1-Data Input'!$D$4</f>
        <v>0</v>
      </c>
      <c r="R19" s="20">
        <f>E19*'1-Data Input'!$D$5</f>
        <v>0</v>
      </c>
      <c r="S19" s="20">
        <f>F19*'1-Data Input'!$D$6</f>
        <v>0</v>
      </c>
      <c r="T19" s="20">
        <f>G19*'1-Data Input'!$D$7</f>
        <v>0</v>
      </c>
      <c r="U19" s="20">
        <f>H19*'1-Data Input'!$D$8</f>
        <v>0</v>
      </c>
      <c r="V19" s="20">
        <f>I19*'1-Data Input'!$D$9</f>
        <v>0</v>
      </c>
      <c r="W19" s="20">
        <f>J19*'1-Data Input'!$D$10</f>
        <v>0</v>
      </c>
      <c r="X19" s="20">
        <f>K19*'1-Data Input'!$D$11</f>
        <v>0</v>
      </c>
      <c r="Y19" s="20">
        <f>L19*'1-Data Input'!$D$12</f>
        <v>0</v>
      </c>
      <c r="Z19" s="21">
        <f>M19*'1-Data Input'!$D$13</f>
        <v>0</v>
      </c>
    </row>
    <row r="20" spans="1:26" x14ac:dyDescent="0.25">
      <c r="A20" s="32">
        <v>0.66666666666666696</v>
      </c>
      <c r="B20" s="42">
        <v>4.2629462955986699E-2</v>
      </c>
      <c r="C20" s="42">
        <v>4.2954334334343543E-2</v>
      </c>
      <c r="D20" s="42">
        <v>4.3148494359437357E-2</v>
      </c>
      <c r="E20" s="42">
        <v>4.1960493603849729E-2</v>
      </c>
      <c r="F20" s="42">
        <v>4.4147915390828837E-2</v>
      </c>
      <c r="G20" s="42">
        <v>4.4359378976838892E-2</v>
      </c>
      <c r="H20" s="42">
        <v>4.4610394601868358E-2</v>
      </c>
      <c r="I20" s="42">
        <v>4.4430969040745429E-2</v>
      </c>
      <c r="J20" s="42">
        <v>4.5584725628876638E-2</v>
      </c>
      <c r="K20" s="42">
        <v>4.3319656266935035E-2</v>
      </c>
      <c r="L20" s="42">
        <v>4.305696515690622E-2</v>
      </c>
      <c r="M20" s="42">
        <v>4.3361526771831881E-2</v>
      </c>
      <c r="N20" s="32">
        <v>0.66666666666666696</v>
      </c>
      <c r="O20" s="20">
        <f>B20*'1-Data Input'!$D$2</f>
        <v>0</v>
      </c>
      <c r="P20" s="20">
        <f>C20*'1-Data Input'!$D$3</f>
        <v>0</v>
      </c>
      <c r="Q20" s="20">
        <f>D20*'1-Data Input'!$D$4</f>
        <v>0</v>
      </c>
      <c r="R20" s="20">
        <f>E20*'1-Data Input'!$D$5</f>
        <v>0</v>
      </c>
      <c r="S20" s="20">
        <f>F20*'1-Data Input'!$D$6</f>
        <v>0</v>
      </c>
      <c r="T20" s="20">
        <f>G20*'1-Data Input'!$D$7</f>
        <v>0</v>
      </c>
      <c r="U20" s="20">
        <f>H20*'1-Data Input'!$D$8</f>
        <v>0</v>
      </c>
      <c r="V20" s="20">
        <f>I20*'1-Data Input'!$D$9</f>
        <v>0</v>
      </c>
      <c r="W20" s="20">
        <f>J20*'1-Data Input'!$D$10</f>
        <v>0</v>
      </c>
      <c r="X20" s="20">
        <f>K20*'1-Data Input'!$D$11</f>
        <v>0</v>
      </c>
      <c r="Y20" s="20">
        <f>L20*'1-Data Input'!$D$12</f>
        <v>0</v>
      </c>
      <c r="Z20" s="21">
        <f>M20*'1-Data Input'!$D$13</f>
        <v>0</v>
      </c>
    </row>
    <row r="21" spans="1:26" x14ac:dyDescent="0.25">
      <c r="A21" s="32">
        <v>0.70833333333333304</v>
      </c>
      <c r="B21" s="42">
        <v>3.9752534770403927E-2</v>
      </c>
      <c r="C21" s="42">
        <v>3.8583445557819722E-2</v>
      </c>
      <c r="D21" s="42">
        <v>3.6463383069463555E-2</v>
      </c>
      <c r="E21" s="42">
        <v>3.7924189220567471E-2</v>
      </c>
      <c r="F21" s="42">
        <v>3.9029125141137003E-2</v>
      </c>
      <c r="G21" s="42">
        <v>3.9725120895902265E-2</v>
      </c>
      <c r="H21" s="42">
        <v>4.0581410656839255E-2</v>
      </c>
      <c r="I21" s="42">
        <v>4.0499024877847602E-2</v>
      </c>
      <c r="J21" s="42">
        <v>4.1764053885177337E-2</v>
      </c>
      <c r="K21" s="42">
        <v>4.0667337617093742E-2</v>
      </c>
      <c r="L21" s="42">
        <v>3.8857150576946789E-2</v>
      </c>
      <c r="M21" s="42">
        <v>3.8296362998745517E-2</v>
      </c>
      <c r="N21" s="32">
        <v>0.70833333333333304</v>
      </c>
      <c r="O21" s="20">
        <f>B21*'1-Data Input'!$D$2</f>
        <v>0</v>
      </c>
      <c r="P21" s="20">
        <f>C21*'1-Data Input'!$D$3</f>
        <v>0</v>
      </c>
      <c r="Q21" s="20">
        <f>D21*'1-Data Input'!$D$4</f>
        <v>0</v>
      </c>
      <c r="R21" s="20">
        <f>E21*'1-Data Input'!$D$5</f>
        <v>0</v>
      </c>
      <c r="S21" s="20">
        <f>F21*'1-Data Input'!$D$6</f>
        <v>0</v>
      </c>
      <c r="T21" s="20">
        <f>G21*'1-Data Input'!$D$7</f>
        <v>0</v>
      </c>
      <c r="U21" s="20">
        <f>H21*'1-Data Input'!$D$8</f>
        <v>0</v>
      </c>
      <c r="V21" s="20">
        <f>I21*'1-Data Input'!$D$9</f>
        <v>0</v>
      </c>
      <c r="W21" s="20">
        <f>J21*'1-Data Input'!$D$10</f>
        <v>0</v>
      </c>
      <c r="X21" s="20">
        <f>K21*'1-Data Input'!$D$11</f>
        <v>0</v>
      </c>
      <c r="Y21" s="20">
        <f>L21*'1-Data Input'!$D$12</f>
        <v>0</v>
      </c>
      <c r="Z21" s="21">
        <f>M21*'1-Data Input'!$D$13</f>
        <v>0</v>
      </c>
    </row>
    <row r="22" spans="1:26" x14ac:dyDescent="0.25">
      <c r="A22" s="32">
        <v>0.75</v>
      </c>
      <c r="B22" s="42">
        <v>3.7417643417672869E-2</v>
      </c>
      <c r="C22" s="42">
        <v>3.7488422895911644E-2</v>
      </c>
      <c r="D22" s="42">
        <v>3.8043810002399037E-2</v>
      </c>
      <c r="E22" s="42">
        <v>3.7687925180005251E-2</v>
      </c>
      <c r="F22" s="42">
        <v>3.5700591068626733E-2</v>
      </c>
      <c r="G22" s="42">
        <v>3.7398829218630698E-2</v>
      </c>
      <c r="H22" s="42">
        <v>3.8268720859445896E-2</v>
      </c>
      <c r="I22" s="42">
        <v>3.8264369945267336E-2</v>
      </c>
      <c r="J22" s="42">
        <v>3.8801531810634206E-2</v>
      </c>
      <c r="K22" s="42">
        <v>3.831578539908647E-2</v>
      </c>
      <c r="L22" s="42">
        <v>3.8964805655142369E-2</v>
      </c>
      <c r="M22" s="42">
        <v>3.7321493575905113E-2</v>
      </c>
      <c r="N22" s="32">
        <v>0.75</v>
      </c>
      <c r="O22" s="20">
        <f>B22*'1-Data Input'!$D$2</f>
        <v>0</v>
      </c>
      <c r="P22" s="20">
        <f>C22*'1-Data Input'!$D$3</f>
        <v>0</v>
      </c>
      <c r="Q22" s="20">
        <f>D22*'1-Data Input'!$D$4</f>
        <v>0</v>
      </c>
      <c r="R22" s="20">
        <f>E22*'1-Data Input'!$D$5</f>
        <v>0</v>
      </c>
      <c r="S22" s="20">
        <f>F22*'1-Data Input'!$D$6</f>
        <v>0</v>
      </c>
      <c r="T22" s="20">
        <f>G22*'1-Data Input'!$D$7</f>
        <v>0</v>
      </c>
      <c r="U22" s="20">
        <f>H22*'1-Data Input'!$D$8</f>
        <v>0</v>
      </c>
      <c r="V22" s="20">
        <f>I22*'1-Data Input'!$D$9</f>
        <v>0</v>
      </c>
      <c r="W22" s="20">
        <f>J22*'1-Data Input'!$D$10</f>
        <v>0</v>
      </c>
      <c r="X22" s="20">
        <f>K22*'1-Data Input'!$D$11</f>
        <v>0</v>
      </c>
      <c r="Y22" s="20">
        <f>L22*'1-Data Input'!$D$12</f>
        <v>0</v>
      </c>
      <c r="Z22" s="21">
        <f>M22*'1-Data Input'!$D$13</f>
        <v>0</v>
      </c>
    </row>
    <row r="23" spans="1:26" x14ac:dyDescent="0.25">
      <c r="A23" s="32">
        <v>0.79166666666666696</v>
      </c>
      <c r="B23" s="42">
        <v>3.7470374432963437E-2</v>
      </c>
      <c r="C23" s="42">
        <v>3.6980479610724037E-2</v>
      </c>
      <c r="D23" s="42">
        <v>3.6272217656018665E-2</v>
      </c>
      <c r="E23" s="42">
        <v>3.6204796718927588E-2</v>
      </c>
      <c r="F23" s="42">
        <v>3.4508920853575938E-2</v>
      </c>
      <c r="G23" s="42">
        <v>3.5648765589208452E-2</v>
      </c>
      <c r="H23" s="42">
        <v>3.7140870419570975E-2</v>
      </c>
      <c r="I23" s="42">
        <v>3.7631326935040788E-2</v>
      </c>
      <c r="J23" s="42">
        <v>3.7717006185684493E-2</v>
      </c>
      <c r="K23" s="42">
        <v>3.8080049547108454E-2</v>
      </c>
      <c r="L23" s="42">
        <v>3.6359552762809264E-2</v>
      </c>
      <c r="M23" s="42">
        <v>3.6023191994868614E-2</v>
      </c>
      <c r="N23" s="32">
        <v>0.79166666666666696</v>
      </c>
      <c r="O23" s="20">
        <f>B23*'1-Data Input'!$D$2</f>
        <v>0</v>
      </c>
      <c r="P23" s="20">
        <f>C23*'1-Data Input'!$D$3</f>
        <v>0</v>
      </c>
      <c r="Q23" s="20">
        <f>D23*'1-Data Input'!$D$4</f>
        <v>0</v>
      </c>
      <c r="R23" s="20">
        <f>E23*'1-Data Input'!$D$5</f>
        <v>0</v>
      </c>
      <c r="S23" s="20">
        <f>F23*'1-Data Input'!$D$6</f>
        <v>0</v>
      </c>
      <c r="T23" s="20">
        <f>G23*'1-Data Input'!$D$7</f>
        <v>0</v>
      </c>
      <c r="U23" s="20">
        <f>H23*'1-Data Input'!$D$8</f>
        <v>0</v>
      </c>
      <c r="V23" s="20">
        <f>I23*'1-Data Input'!$D$9</f>
        <v>0</v>
      </c>
      <c r="W23" s="20">
        <f>J23*'1-Data Input'!$D$10</f>
        <v>0</v>
      </c>
      <c r="X23" s="20">
        <f>K23*'1-Data Input'!$D$11</f>
        <v>0</v>
      </c>
      <c r="Y23" s="20">
        <f>L23*'1-Data Input'!$D$12</f>
        <v>0</v>
      </c>
      <c r="Z23" s="21">
        <f>M23*'1-Data Input'!$D$13</f>
        <v>0</v>
      </c>
    </row>
    <row r="24" spans="1:26" x14ac:dyDescent="0.25">
      <c r="A24" s="32">
        <v>0.83333333333333304</v>
      </c>
      <c r="B24" s="42">
        <v>3.3975875798031657E-2</v>
      </c>
      <c r="C24" s="42">
        <v>3.5896499194146128E-2</v>
      </c>
      <c r="D24" s="42">
        <v>3.5062765188778218E-2</v>
      </c>
      <c r="E24" s="42">
        <v>3.6196667203553412E-2</v>
      </c>
      <c r="F24" s="42">
        <v>3.3175306540887531E-2</v>
      </c>
      <c r="G24" s="42">
        <v>3.5713922117587171E-2</v>
      </c>
      <c r="H24" s="42">
        <v>3.57837389854559E-2</v>
      </c>
      <c r="I24" s="42">
        <v>3.521274439217386E-2</v>
      </c>
      <c r="J24" s="42">
        <v>3.6366450313365148E-2</v>
      </c>
      <c r="K24" s="42">
        <v>3.7044205310830684E-2</v>
      </c>
      <c r="L24" s="42">
        <v>3.6577395979863855E-2</v>
      </c>
      <c r="M24" s="42">
        <v>3.5718883074817791E-2</v>
      </c>
      <c r="N24" s="32">
        <v>0.83333333333333304</v>
      </c>
      <c r="O24" s="20">
        <f>B24*'1-Data Input'!$D$2</f>
        <v>0</v>
      </c>
      <c r="P24" s="20">
        <f>C24*'1-Data Input'!$D$3</f>
        <v>0</v>
      </c>
      <c r="Q24" s="20">
        <f>D24*'1-Data Input'!$D$4</f>
        <v>0</v>
      </c>
      <c r="R24" s="20">
        <f>E24*'1-Data Input'!$D$5</f>
        <v>0</v>
      </c>
      <c r="S24" s="20">
        <f>F24*'1-Data Input'!$D$6</f>
        <v>0</v>
      </c>
      <c r="T24" s="20">
        <f>G24*'1-Data Input'!$D$7</f>
        <v>0</v>
      </c>
      <c r="U24" s="20">
        <f>H24*'1-Data Input'!$D$8</f>
        <v>0</v>
      </c>
      <c r="V24" s="20">
        <f>I24*'1-Data Input'!$D$9</f>
        <v>0</v>
      </c>
      <c r="W24" s="20">
        <f>J24*'1-Data Input'!$D$10</f>
        <v>0</v>
      </c>
      <c r="X24" s="20">
        <f>K24*'1-Data Input'!$D$11</f>
        <v>0</v>
      </c>
      <c r="Y24" s="20">
        <f>L24*'1-Data Input'!$D$12</f>
        <v>0</v>
      </c>
      <c r="Z24" s="21">
        <f>M24*'1-Data Input'!$D$13</f>
        <v>0</v>
      </c>
    </row>
    <row r="25" spans="1:26" x14ac:dyDescent="0.25">
      <c r="A25" s="32">
        <v>0.875</v>
      </c>
      <c r="B25" s="42">
        <v>3.6013858280883389E-2</v>
      </c>
      <c r="C25" s="42">
        <v>3.4603636303405932E-2</v>
      </c>
      <c r="D25" s="42">
        <v>3.3217356494631999E-2</v>
      </c>
      <c r="E25" s="42">
        <v>3.569111296622135E-2</v>
      </c>
      <c r="F25" s="42">
        <v>3.3422883455371769E-2</v>
      </c>
      <c r="G25" s="42">
        <v>3.3588699414609312E-2</v>
      </c>
      <c r="H25" s="42">
        <v>3.5008424640771023E-2</v>
      </c>
      <c r="I25" s="42">
        <v>3.5164687296849552E-2</v>
      </c>
      <c r="J25" s="42">
        <v>3.6855391578429451E-2</v>
      </c>
      <c r="K25" s="42">
        <v>3.5627467678253456E-2</v>
      </c>
      <c r="L25" s="42">
        <v>3.5196877918296975E-2</v>
      </c>
      <c r="M25" s="42">
        <v>3.3698471392513155E-2</v>
      </c>
      <c r="N25" s="32">
        <v>0.875</v>
      </c>
      <c r="O25" s="20">
        <f>B25*'1-Data Input'!$D$2</f>
        <v>0</v>
      </c>
      <c r="P25" s="20">
        <f>C25*'1-Data Input'!$D$3</f>
        <v>0</v>
      </c>
      <c r="Q25" s="20">
        <f>D25*'1-Data Input'!$D$4</f>
        <v>0</v>
      </c>
      <c r="R25" s="20">
        <f>E25*'1-Data Input'!$D$5</f>
        <v>0</v>
      </c>
      <c r="S25" s="20">
        <f>F25*'1-Data Input'!$D$6</f>
        <v>0</v>
      </c>
      <c r="T25" s="20">
        <f>G25*'1-Data Input'!$D$7</f>
        <v>0</v>
      </c>
      <c r="U25" s="20">
        <f>H25*'1-Data Input'!$D$8</f>
        <v>0</v>
      </c>
      <c r="V25" s="20">
        <f>I25*'1-Data Input'!$D$9</f>
        <v>0</v>
      </c>
      <c r="W25" s="20">
        <f>J25*'1-Data Input'!$D$10</f>
        <v>0</v>
      </c>
      <c r="X25" s="20">
        <f>K25*'1-Data Input'!$D$11</f>
        <v>0</v>
      </c>
      <c r="Y25" s="20">
        <f>L25*'1-Data Input'!$D$12</f>
        <v>0</v>
      </c>
      <c r="Z25" s="21">
        <f>M25*'1-Data Input'!$D$13</f>
        <v>0</v>
      </c>
    </row>
    <row r="26" spans="1:26" x14ac:dyDescent="0.25">
      <c r="A26" s="32">
        <v>0.91666666666666696</v>
      </c>
      <c r="B26" s="42">
        <v>3.2242878106319976E-2</v>
      </c>
      <c r="C26" s="42">
        <v>3.2872764347902497E-2</v>
      </c>
      <c r="D26" s="42">
        <v>3.3421770996137426E-2</v>
      </c>
      <c r="E26" s="42">
        <v>3.2022161058910023E-2</v>
      </c>
      <c r="F26" s="42">
        <v>3.1168283020801994E-2</v>
      </c>
      <c r="G26" s="42">
        <v>3.304046831254772E-2</v>
      </c>
      <c r="H26" s="42">
        <v>3.3551893931696358E-2</v>
      </c>
      <c r="I26" s="42">
        <v>3.3909086460830844E-2</v>
      </c>
      <c r="J26" s="42">
        <v>3.4473824125132002E-2</v>
      </c>
      <c r="K26" s="42">
        <v>3.5056127583804282E-2</v>
      </c>
      <c r="L26" s="42">
        <v>3.4545881327796631E-2</v>
      </c>
      <c r="M26" s="42">
        <v>3.3334298422616267E-2</v>
      </c>
      <c r="N26" s="32">
        <v>0.91666666666666696</v>
      </c>
      <c r="O26" s="20">
        <f>B26*'1-Data Input'!$D$2</f>
        <v>0</v>
      </c>
      <c r="P26" s="20">
        <f>C26*'1-Data Input'!$D$3</f>
        <v>0</v>
      </c>
      <c r="Q26" s="20">
        <f>D26*'1-Data Input'!$D$4</f>
        <v>0</v>
      </c>
      <c r="R26" s="20">
        <f>E26*'1-Data Input'!$D$5</f>
        <v>0</v>
      </c>
      <c r="S26" s="20">
        <f>F26*'1-Data Input'!$D$6</f>
        <v>0</v>
      </c>
      <c r="T26" s="20">
        <f>G26*'1-Data Input'!$D$7</f>
        <v>0</v>
      </c>
      <c r="U26" s="20">
        <f>H26*'1-Data Input'!$D$8</f>
        <v>0</v>
      </c>
      <c r="V26" s="20">
        <f>I26*'1-Data Input'!$D$9</f>
        <v>0</v>
      </c>
      <c r="W26" s="20">
        <f>J26*'1-Data Input'!$D$10</f>
        <v>0</v>
      </c>
      <c r="X26" s="20">
        <f>K26*'1-Data Input'!$D$11</f>
        <v>0</v>
      </c>
      <c r="Y26" s="20">
        <f>L26*'1-Data Input'!$D$12</f>
        <v>0</v>
      </c>
      <c r="Z26" s="21">
        <f>M26*'1-Data Input'!$D$13</f>
        <v>0</v>
      </c>
    </row>
    <row r="27" spans="1:26" x14ac:dyDescent="0.25">
      <c r="A27" s="32">
        <v>0.95833333333333304</v>
      </c>
      <c r="B27" s="43">
        <v>3.2854747905367306E-2</v>
      </c>
      <c r="C27" s="43">
        <v>3.317274534603866E-2</v>
      </c>
      <c r="D27" s="43">
        <v>3.2876665658789613E-2</v>
      </c>
      <c r="E27" s="43">
        <v>3.2365633083469285E-2</v>
      </c>
      <c r="F27" s="43">
        <v>3.2229012556636676E-2</v>
      </c>
      <c r="G27" s="43">
        <v>3.3128022397556633E-2</v>
      </c>
      <c r="H27" s="43">
        <v>3.2912204375511914E-2</v>
      </c>
      <c r="I27" s="43">
        <v>3.3430263038326843E-2</v>
      </c>
      <c r="J27" s="43">
        <v>3.4988174936254765E-2</v>
      </c>
      <c r="K27" s="43">
        <v>3.3436556475961901E-2</v>
      </c>
      <c r="L27" s="43">
        <v>3.3394183079492511E-2</v>
      </c>
      <c r="M27" s="43">
        <v>3.1927493251233778E-2</v>
      </c>
      <c r="N27" s="32">
        <v>0.95833333333333304</v>
      </c>
      <c r="O27" s="26">
        <f>B27*'1-Data Input'!$D$2</f>
        <v>0</v>
      </c>
      <c r="P27" s="26">
        <f>C27*'1-Data Input'!$D$3</f>
        <v>0</v>
      </c>
      <c r="Q27" s="26">
        <f>D27*'1-Data Input'!$D$4</f>
        <v>0</v>
      </c>
      <c r="R27" s="26">
        <f>E27*'1-Data Input'!$D$5</f>
        <v>0</v>
      </c>
      <c r="S27" s="26">
        <f>F27*'1-Data Input'!$D$6</f>
        <v>0</v>
      </c>
      <c r="T27" s="26">
        <f>G27*'1-Data Input'!$D$7</f>
        <v>0</v>
      </c>
      <c r="U27" s="26">
        <f>H27*'1-Data Input'!$D$8</f>
        <v>0</v>
      </c>
      <c r="V27" s="26">
        <f>I27*'1-Data Input'!$D$9</f>
        <v>0</v>
      </c>
      <c r="W27" s="26">
        <f>J27*'1-Data Input'!$D$10</f>
        <v>0</v>
      </c>
      <c r="X27" s="26">
        <f>K27*'1-Data Input'!$D$11</f>
        <v>0</v>
      </c>
      <c r="Y27" s="26">
        <f>L27*'1-Data Input'!$D$12</f>
        <v>0</v>
      </c>
      <c r="Z27" s="27">
        <f>M27*'1-Data Input'!$D$13</f>
        <v>0</v>
      </c>
    </row>
    <row r="28" spans="1:26" ht="30" customHeight="1" x14ac:dyDescent="0.25">
      <c r="A28" s="65" t="s">
        <v>33</v>
      </c>
      <c r="B28" s="65"/>
      <c r="C28" s="65"/>
      <c r="D28" s="65"/>
      <c r="E28" s="65"/>
      <c r="F28" s="65"/>
      <c r="G28" s="66" t="s">
        <v>29</v>
      </c>
      <c r="H28" s="66"/>
      <c r="I28" s="66"/>
      <c r="J28" s="66"/>
      <c r="K28" s="66"/>
      <c r="L28" s="66"/>
      <c r="M28" s="66"/>
      <c r="N28" s="66"/>
      <c r="O28" s="66"/>
      <c r="P28" s="66"/>
      <c r="Q28" s="66"/>
      <c r="R28" s="66"/>
      <c r="S28" s="66"/>
      <c r="T28" s="66"/>
      <c r="U28" s="66"/>
      <c r="V28" s="66"/>
      <c r="W28" s="66"/>
      <c r="X28" s="66"/>
      <c r="Y28" s="66"/>
      <c r="Z28" s="66"/>
    </row>
    <row r="29" spans="1:26" ht="33.75" x14ac:dyDescent="0.5">
      <c r="A29" s="67" t="s">
        <v>15</v>
      </c>
      <c r="B29" s="67"/>
      <c r="C29" s="67"/>
      <c r="D29" s="67"/>
      <c r="E29" s="67"/>
      <c r="F29" s="67"/>
      <c r="G29" s="67"/>
      <c r="H29" s="67"/>
      <c r="I29" s="67"/>
      <c r="J29" s="67"/>
      <c r="K29" s="67"/>
      <c r="L29" s="67"/>
      <c r="M29" s="68"/>
      <c r="N29" s="69" t="s">
        <v>27</v>
      </c>
      <c r="O29" s="69"/>
      <c r="P29" s="69"/>
      <c r="Q29" s="69"/>
      <c r="R29" s="69"/>
      <c r="S29" s="69"/>
      <c r="T29" s="69"/>
      <c r="U29" s="69"/>
      <c r="V29" s="69"/>
      <c r="W29" s="69"/>
      <c r="X29" s="69"/>
      <c r="Y29" s="69"/>
      <c r="Z29" s="69"/>
    </row>
    <row r="30" spans="1:26" ht="46.5" x14ac:dyDescent="0.25">
      <c r="A30" s="28" t="s">
        <v>30</v>
      </c>
      <c r="B30" s="29" t="s">
        <v>16</v>
      </c>
      <c r="C30" s="29" t="s">
        <v>17</v>
      </c>
      <c r="D30" s="29" t="s">
        <v>18</v>
      </c>
      <c r="E30" s="29" t="s">
        <v>19</v>
      </c>
      <c r="F30" s="29" t="s">
        <v>4</v>
      </c>
      <c r="G30" s="29" t="s">
        <v>20</v>
      </c>
      <c r="H30" s="29" t="s">
        <v>21</v>
      </c>
      <c r="I30" s="29" t="s">
        <v>22</v>
      </c>
      <c r="J30" s="29" t="s">
        <v>23</v>
      </c>
      <c r="K30" s="29" t="s">
        <v>24</v>
      </c>
      <c r="L30" s="29" t="s">
        <v>25</v>
      </c>
      <c r="M30" s="30" t="s">
        <v>26</v>
      </c>
      <c r="N30" s="40" t="s">
        <v>30</v>
      </c>
      <c r="O30" s="40" t="s">
        <v>16</v>
      </c>
      <c r="P30" s="40" t="s">
        <v>17</v>
      </c>
      <c r="Q30" s="40" t="s">
        <v>18</v>
      </c>
      <c r="R30" s="40" t="s">
        <v>19</v>
      </c>
      <c r="S30" s="40" t="s">
        <v>4</v>
      </c>
      <c r="T30" s="40" t="s">
        <v>20</v>
      </c>
      <c r="U30" s="40" t="s">
        <v>21</v>
      </c>
      <c r="V30" s="40" t="s">
        <v>22</v>
      </c>
      <c r="W30" s="40" t="s">
        <v>23</v>
      </c>
      <c r="X30" s="40" t="s">
        <v>24</v>
      </c>
      <c r="Y30" s="40" t="s">
        <v>25</v>
      </c>
      <c r="Z30" s="40" t="s">
        <v>26</v>
      </c>
    </row>
    <row r="31" spans="1:26" x14ac:dyDescent="0.25">
      <c r="A31" s="32">
        <v>0</v>
      </c>
      <c r="B31" s="42">
        <v>3.1716993115989703E-2</v>
      </c>
      <c r="C31" s="42">
        <v>3.2898989680561638E-2</v>
      </c>
      <c r="D31" s="42">
        <v>3.2635342983401261E-2</v>
      </c>
      <c r="E31" s="42">
        <v>3.4075371785602319E-2</v>
      </c>
      <c r="F31" s="42">
        <v>3.1788875819775818E-2</v>
      </c>
      <c r="G31" s="42">
        <v>3.2336472384830742E-2</v>
      </c>
      <c r="H31" s="42">
        <v>3.2914413248288789E-2</v>
      </c>
      <c r="I31" s="42">
        <v>3.2523731467436513E-2</v>
      </c>
      <c r="J31" s="42">
        <v>3.3621449352807316E-2</v>
      </c>
      <c r="K31" s="42">
        <v>3.3560424247116194E-2</v>
      </c>
      <c r="L31" s="42">
        <v>3.3132433477605215E-2</v>
      </c>
      <c r="M31" s="42">
        <v>3.2021030829118259E-2</v>
      </c>
      <c r="N31" s="32">
        <v>0</v>
      </c>
      <c r="O31" s="41">
        <f>B31*'1-Data Input'!$D$2</f>
        <v>0</v>
      </c>
      <c r="P31" s="41">
        <f>C31*'1-Data Input'!$D$3</f>
        <v>0</v>
      </c>
      <c r="Q31" s="41">
        <f>D31*'1-Data Input'!$D$4</f>
        <v>0</v>
      </c>
      <c r="R31" s="41">
        <f>E31*'1-Data Input'!$D$5</f>
        <v>0</v>
      </c>
      <c r="S31" s="41">
        <f>F31*'1-Data Input'!$D$6</f>
        <v>0</v>
      </c>
      <c r="T31" s="41">
        <f>G31*'1-Data Input'!$D$7</f>
        <v>0</v>
      </c>
      <c r="U31" s="41">
        <f>H31*'1-Data Input'!$D$8</f>
        <v>0</v>
      </c>
      <c r="V31" s="41">
        <f>I31*'1-Data Input'!$D$9</f>
        <v>0</v>
      </c>
      <c r="W31" s="41">
        <f>J31*'1-Data Input'!$D$10</f>
        <v>0</v>
      </c>
      <c r="X31" s="41">
        <f>K31*'1-Data Input'!$D$11</f>
        <v>0</v>
      </c>
      <c r="Y31" s="41">
        <f>L31*'1-Data Input'!$D$12</f>
        <v>0</v>
      </c>
      <c r="Z31" s="41">
        <f>M31*'1-Data Input'!$D$13</f>
        <v>0</v>
      </c>
    </row>
    <row r="32" spans="1:26" x14ac:dyDescent="0.25">
      <c r="A32" s="32">
        <v>4.1666666666666699E-2</v>
      </c>
      <c r="B32" s="42">
        <v>3.2567815173515917E-2</v>
      </c>
      <c r="C32" s="42">
        <v>3.3645721521014076E-2</v>
      </c>
      <c r="D32" s="42">
        <v>3.3495587343903267E-2</v>
      </c>
      <c r="E32" s="42">
        <v>3.2637971848504449E-2</v>
      </c>
      <c r="F32" s="42">
        <v>3.217470997221878E-2</v>
      </c>
      <c r="G32" s="42">
        <v>3.1574446424026473E-2</v>
      </c>
      <c r="H32" s="42">
        <v>3.2210666381574826E-2</v>
      </c>
      <c r="I32" s="42">
        <v>3.2110877330332244E-2</v>
      </c>
      <c r="J32" s="42">
        <v>3.3563700384492627E-2</v>
      </c>
      <c r="K32" s="42">
        <v>3.306804985677788E-2</v>
      </c>
      <c r="L32" s="42">
        <v>3.2605556859612715E-2</v>
      </c>
      <c r="M32" s="42">
        <v>3.2396939966906971E-2</v>
      </c>
      <c r="N32" s="32">
        <v>4.1666666666666699E-2</v>
      </c>
      <c r="O32" s="20">
        <f>B32*'1-Data Input'!$D$2</f>
        <v>0</v>
      </c>
      <c r="P32" s="20">
        <f>C32*'1-Data Input'!$D$3</f>
        <v>0</v>
      </c>
      <c r="Q32" s="20">
        <f>D32*'1-Data Input'!$D$4</f>
        <v>0</v>
      </c>
      <c r="R32" s="20">
        <f>E32*'1-Data Input'!$D$5</f>
        <v>0</v>
      </c>
      <c r="S32" s="20">
        <f>F32*'1-Data Input'!$D$6</f>
        <v>0</v>
      </c>
      <c r="T32" s="20">
        <f>G32*'1-Data Input'!$D$7</f>
        <v>0</v>
      </c>
      <c r="U32" s="20">
        <f>H32*'1-Data Input'!$D$8</f>
        <v>0</v>
      </c>
      <c r="V32" s="20">
        <f>I32*'1-Data Input'!$D$9</f>
        <v>0</v>
      </c>
      <c r="W32" s="20">
        <f>J32*'1-Data Input'!$D$10</f>
        <v>0</v>
      </c>
      <c r="X32" s="20">
        <f>K32*'1-Data Input'!$D$11</f>
        <v>0</v>
      </c>
      <c r="Y32" s="20">
        <f>L32*'1-Data Input'!$D$12</f>
        <v>0</v>
      </c>
      <c r="Z32" s="21">
        <f>M32*'1-Data Input'!$D$13</f>
        <v>0</v>
      </c>
    </row>
    <row r="33" spans="1:26" x14ac:dyDescent="0.25">
      <c r="A33" s="32">
        <v>8.3333333333333301E-2</v>
      </c>
      <c r="B33" s="42">
        <v>3.2911754408384133E-2</v>
      </c>
      <c r="C33" s="42">
        <v>3.224335636408307E-2</v>
      </c>
      <c r="D33" s="42">
        <v>3.210064764381531E-2</v>
      </c>
      <c r="E33" s="42">
        <v>3.2914375371226698E-2</v>
      </c>
      <c r="F33" s="42">
        <v>3.1324898343001652E-2</v>
      </c>
      <c r="G33" s="42">
        <v>3.1224230083990834E-2</v>
      </c>
      <c r="H33" s="42">
        <v>3.2099339193620076E-2</v>
      </c>
      <c r="I33" s="42">
        <v>3.2058451408160271E-2</v>
      </c>
      <c r="J33" s="42">
        <v>3.2462620055292712E-2</v>
      </c>
      <c r="K33" s="42">
        <v>3.3560424247116194E-2</v>
      </c>
      <c r="L33" s="42">
        <v>3.178146779044496E-2</v>
      </c>
      <c r="M33" s="42">
        <v>3.204935192908883E-2</v>
      </c>
      <c r="N33" s="32">
        <v>8.3333333333333301E-2</v>
      </c>
      <c r="O33" s="20">
        <f>B33*'1-Data Input'!$D$2</f>
        <v>0</v>
      </c>
      <c r="P33" s="20">
        <f>C33*'1-Data Input'!$D$3</f>
        <v>0</v>
      </c>
      <c r="Q33" s="20">
        <f>D33*'1-Data Input'!$D$4</f>
        <v>0</v>
      </c>
      <c r="R33" s="20">
        <f>E33*'1-Data Input'!$D$5</f>
        <v>0</v>
      </c>
      <c r="S33" s="20">
        <f>F33*'1-Data Input'!$D$6</f>
        <v>0</v>
      </c>
      <c r="T33" s="20">
        <f>G33*'1-Data Input'!$D$7</f>
        <v>0</v>
      </c>
      <c r="U33" s="20">
        <f>H33*'1-Data Input'!$D$8</f>
        <v>0</v>
      </c>
      <c r="V33" s="20">
        <f>I33*'1-Data Input'!$D$9</f>
        <v>0</v>
      </c>
      <c r="W33" s="20">
        <f>J33*'1-Data Input'!$D$10</f>
        <v>0</v>
      </c>
      <c r="X33" s="20">
        <f>K33*'1-Data Input'!$D$11</f>
        <v>0</v>
      </c>
      <c r="Y33" s="20">
        <f>L33*'1-Data Input'!$D$12</f>
        <v>0</v>
      </c>
      <c r="Z33" s="21">
        <f>M33*'1-Data Input'!$D$13</f>
        <v>0</v>
      </c>
    </row>
    <row r="34" spans="1:26" x14ac:dyDescent="0.25">
      <c r="A34" s="32">
        <v>0.125</v>
      </c>
      <c r="B34" s="42">
        <v>3.2572090661242184E-2</v>
      </c>
      <c r="C34" s="42">
        <v>3.3692651063667277E-2</v>
      </c>
      <c r="D34" s="42">
        <v>3.3203161043138564E-2</v>
      </c>
      <c r="E34" s="42">
        <v>3.3259879774629506E-2</v>
      </c>
      <c r="F34" s="42">
        <v>2.9766997684821224E-2</v>
      </c>
      <c r="G34" s="42">
        <v>3.1878340544667851E-2</v>
      </c>
      <c r="H34" s="42">
        <v>3.1708368712112314E-2</v>
      </c>
      <c r="I34" s="42">
        <v>3.135725469911016E-2</v>
      </c>
      <c r="J34" s="42">
        <v>3.1917854787524222E-2</v>
      </c>
      <c r="K34" s="42">
        <v>3.2596578152821853E-2</v>
      </c>
      <c r="L34" s="42">
        <v>3.3214757949166542E-2</v>
      </c>
      <c r="M34" s="42">
        <v>3.1809012319246779E-2</v>
      </c>
      <c r="N34" s="32">
        <v>0.125</v>
      </c>
      <c r="O34" s="20">
        <f>B34*'1-Data Input'!$D$2</f>
        <v>0</v>
      </c>
      <c r="P34" s="20">
        <f>C34*'1-Data Input'!$D$3</f>
        <v>0</v>
      </c>
      <c r="Q34" s="20">
        <f>D34*'1-Data Input'!$D$4</f>
        <v>0</v>
      </c>
      <c r="R34" s="20">
        <f>E34*'1-Data Input'!$D$5</f>
        <v>0</v>
      </c>
      <c r="S34" s="20">
        <f>F34*'1-Data Input'!$D$6</f>
        <v>0</v>
      </c>
      <c r="T34" s="20">
        <f>G34*'1-Data Input'!$D$7</f>
        <v>0</v>
      </c>
      <c r="U34" s="20">
        <f>H34*'1-Data Input'!$D$8</f>
        <v>0</v>
      </c>
      <c r="V34" s="20">
        <f>I34*'1-Data Input'!$D$9</f>
        <v>0</v>
      </c>
      <c r="W34" s="20">
        <f>J34*'1-Data Input'!$D$10</f>
        <v>0</v>
      </c>
      <c r="X34" s="20">
        <f>K34*'1-Data Input'!$D$11</f>
        <v>0</v>
      </c>
      <c r="Y34" s="20">
        <f>L34*'1-Data Input'!$D$12</f>
        <v>0</v>
      </c>
      <c r="Z34" s="21">
        <f>M34*'1-Data Input'!$D$13</f>
        <v>0</v>
      </c>
    </row>
    <row r="35" spans="1:26" x14ac:dyDescent="0.25">
      <c r="A35" s="32">
        <v>0.16666666666666699</v>
      </c>
      <c r="B35" s="42">
        <v>3.5024795453541362E-2</v>
      </c>
      <c r="C35" s="42">
        <v>3.5837607219051916E-2</v>
      </c>
      <c r="D35" s="42">
        <v>3.5426168747010087E-2</v>
      </c>
      <c r="E35" s="42">
        <v>3.5497528881373606E-2</v>
      </c>
      <c r="F35" s="42">
        <v>3.3512011144586094E-2</v>
      </c>
      <c r="G35" s="42">
        <v>3.4445405955713923E-2</v>
      </c>
      <c r="H35" s="42">
        <v>3.4230459648753889E-2</v>
      </c>
      <c r="I35" s="42">
        <v>3.2624651367617552E-2</v>
      </c>
      <c r="J35" s="42">
        <v>3.3457442282793612E-2</v>
      </c>
      <c r="K35" s="42">
        <v>3.3667260199736773E-2</v>
      </c>
      <c r="L35" s="42">
        <v>3.3319879966698697E-2</v>
      </c>
      <c r="M35" s="42">
        <v>3.3039966844206452E-2</v>
      </c>
      <c r="N35" s="32">
        <v>0.16666666666666699</v>
      </c>
      <c r="O35" s="20">
        <f>B35*'1-Data Input'!$D$2</f>
        <v>0</v>
      </c>
      <c r="P35" s="20">
        <f>C35*'1-Data Input'!$D$3</f>
        <v>0</v>
      </c>
      <c r="Q35" s="20">
        <f>D35*'1-Data Input'!$D$4</f>
        <v>0</v>
      </c>
      <c r="R35" s="20">
        <f>E35*'1-Data Input'!$D$5</f>
        <v>0</v>
      </c>
      <c r="S35" s="20">
        <f>F35*'1-Data Input'!$D$6</f>
        <v>0</v>
      </c>
      <c r="T35" s="20">
        <f>G35*'1-Data Input'!$D$7</f>
        <v>0</v>
      </c>
      <c r="U35" s="20">
        <f>H35*'1-Data Input'!$D$8</f>
        <v>0</v>
      </c>
      <c r="V35" s="20">
        <f>I35*'1-Data Input'!$D$9</f>
        <v>0</v>
      </c>
      <c r="W35" s="20">
        <f>J35*'1-Data Input'!$D$10</f>
        <v>0</v>
      </c>
      <c r="X35" s="20">
        <f>K35*'1-Data Input'!$D$11</f>
        <v>0</v>
      </c>
      <c r="Y35" s="20">
        <f>L35*'1-Data Input'!$D$12</f>
        <v>0</v>
      </c>
      <c r="Z35" s="21">
        <f>M35*'1-Data Input'!$D$13</f>
        <v>0</v>
      </c>
    </row>
    <row r="36" spans="1:26" x14ac:dyDescent="0.25">
      <c r="A36" s="32">
        <v>0.20833333333333301</v>
      </c>
      <c r="B36" s="42">
        <v>4.1358217938711354E-2</v>
      </c>
      <c r="C36" s="42">
        <v>4.2595461361113161E-2</v>
      </c>
      <c r="D36" s="42">
        <v>4.348539974154815E-2</v>
      </c>
      <c r="E36" s="42">
        <v>4.290351738725505E-2</v>
      </c>
      <c r="F36" s="42">
        <v>4.4387789912418006E-2</v>
      </c>
      <c r="G36" s="42">
        <v>4.7045049630949347E-2</v>
      </c>
      <c r="H36" s="42">
        <v>4.2604738120461325E-2</v>
      </c>
      <c r="I36" s="42">
        <v>4.3487302441649944E-2</v>
      </c>
      <c r="J36" s="42">
        <v>4.2310744118556322E-2</v>
      </c>
      <c r="K36" s="42">
        <v>4.2293102113493838E-2</v>
      </c>
      <c r="L36" s="42">
        <v>4.2437209647921456E-2</v>
      </c>
      <c r="M36" s="42">
        <v>4.2852682348140339E-2</v>
      </c>
      <c r="N36" s="32">
        <v>0.20833333333333301</v>
      </c>
      <c r="O36" s="20">
        <f>B36*'1-Data Input'!$D$2</f>
        <v>0</v>
      </c>
      <c r="P36" s="20">
        <f>C36*'1-Data Input'!$D$3</f>
        <v>0</v>
      </c>
      <c r="Q36" s="20">
        <f>D36*'1-Data Input'!$D$4</f>
        <v>0</v>
      </c>
      <c r="R36" s="20">
        <f>E36*'1-Data Input'!$D$5</f>
        <v>0</v>
      </c>
      <c r="S36" s="20">
        <f>F36*'1-Data Input'!$D$6</f>
        <v>0</v>
      </c>
      <c r="T36" s="20">
        <f>G36*'1-Data Input'!$D$7</f>
        <v>0</v>
      </c>
      <c r="U36" s="20">
        <f>H36*'1-Data Input'!$D$8</f>
        <v>0</v>
      </c>
      <c r="V36" s="20">
        <f>I36*'1-Data Input'!$D$9</f>
        <v>0</v>
      </c>
      <c r="W36" s="20">
        <f>J36*'1-Data Input'!$D$10</f>
        <v>0</v>
      </c>
      <c r="X36" s="20">
        <f>K36*'1-Data Input'!$D$11</f>
        <v>0</v>
      </c>
      <c r="Y36" s="20">
        <f>L36*'1-Data Input'!$D$12</f>
        <v>0</v>
      </c>
      <c r="Z36" s="21">
        <f>M36*'1-Data Input'!$D$13</f>
        <v>0</v>
      </c>
    </row>
    <row r="37" spans="1:26" x14ac:dyDescent="0.25">
      <c r="A37" s="32">
        <v>0.25</v>
      </c>
      <c r="B37" s="42">
        <v>5.0856926503890933E-2</v>
      </c>
      <c r="C37" s="42">
        <v>4.9828132052371521E-2</v>
      </c>
      <c r="D37" s="42">
        <v>4.7512176148518499E-2</v>
      </c>
      <c r="E37" s="42">
        <v>4.7290915215759878E-2</v>
      </c>
      <c r="F37" s="42">
        <v>5.3154763539765323E-2</v>
      </c>
      <c r="G37" s="42">
        <v>5.298294731483838E-2</v>
      </c>
      <c r="H37" s="42">
        <v>4.9494212311550032E-2</v>
      </c>
      <c r="I37" s="42">
        <v>5.105629495522826E-2</v>
      </c>
      <c r="J37" s="42">
        <v>4.8820977813231366E-2</v>
      </c>
      <c r="K37" s="42">
        <v>5.0607726252225746E-2</v>
      </c>
      <c r="L37" s="42">
        <v>5.0933517289827743E-2</v>
      </c>
      <c r="M37" s="42">
        <v>5.2680363864535736E-2</v>
      </c>
      <c r="N37" s="32">
        <v>0.25</v>
      </c>
      <c r="O37" s="20">
        <f>B37*'1-Data Input'!$D$2</f>
        <v>0</v>
      </c>
      <c r="P37" s="20">
        <f>C37*'1-Data Input'!$D$3</f>
        <v>0</v>
      </c>
      <c r="Q37" s="20">
        <f>D37*'1-Data Input'!$D$4</f>
        <v>0</v>
      </c>
      <c r="R37" s="20">
        <f>E37*'1-Data Input'!$D$5</f>
        <v>0</v>
      </c>
      <c r="S37" s="20">
        <f>F37*'1-Data Input'!$D$6</f>
        <v>0</v>
      </c>
      <c r="T37" s="20">
        <f>G37*'1-Data Input'!$D$7</f>
        <v>0</v>
      </c>
      <c r="U37" s="20">
        <f>H37*'1-Data Input'!$D$8</f>
        <v>0</v>
      </c>
      <c r="V37" s="20">
        <f>I37*'1-Data Input'!$D$9</f>
        <v>0</v>
      </c>
      <c r="W37" s="20">
        <f>J37*'1-Data Input'!$D$10</f>
        <v>0</v>
      </c>
      <c r="X37" s="20">
        <f>K37*'1-Data Input'!$D$11</f>
        <v>0</v>
      </c>
      <c r="Y37" s="20">
        <f>L37*'1-Data Input'!$D$12</f>
        <v>0</v>
      </c>
      <c r="Z37" s="21">
        <f>M37*'1-Data Input'!$D$13</f>
        <v>0</v>
      </c>
    </row>
    <row r="38" spans="1:26" x14ac:dyDescent="0.25">
      <c r="A38" s="32">
        <v>0.29166666666666702</v>
      </c>
      <c r="B38" s="42">
        <v>5.0114416802096697E-2</v>
      </c>
      <c r="C38" s="42">
        <v>4.9513428060461807E-2</v>
      </c>
      <c r="D38" s="42">
        <v>4.9723827491195284E-2</v>
      </c>
      <c r="E38" s="42">
        <v>5.0197725056741471E-2</v>
      </c>
      <c r="F38" s="42">
        <v>5.0334037227408264E-2</v>
      </c>
      <c r="G38" s="42">
        <v>4.9533214558411809E-2</v>
      </c>
      <c r="H38" s="42">
        <v>4.8718897966865148E-2</v>
      </c>
      <c r="I38" s="42">
        <v>4.8782320581019015E-2</v>
      </c>
      <c r="J38" s="42">
        <v>4.6915261858846889E-2</v>
      </c>
      <c r="K38" s="42">
        <v>4.9102732832701085E-2</v>
      </c>
      <c r="L38" s="42">
        <v>5.0433237808801205E-2</v>
      </c>
      <c r="M38" s="42">
        <v>5.0744759586179689E-2</v>
      </c>
      <c r="N38" s="32">
        <v>0.29166666666666702</v>
      </c>
      <c r="O38" s="20">
        <f>B38*'1-Data Input'!$D$2</f>
        <v>0</v>
      </c>
      <c r="P38" s="20">
        <f>C38*'1-Data Input'!$D$3</f>
        <v>0</v>
      </c>
      <c r="Q38" s="20">
        <f>D38*'1-Data Input'!$D$4</f>
        <v>0</v>
      </c>
      <c r="R38" s="20">
        <f>E38*'1-Data Input'!$D$5</f>
        <v>0</v>
      </c>
      <c r="S38" s="20">
        <f>F38*'1-Data Input'!$D$6</f>
        <v>0</v>
      </c>
      <c r="T38" s="20">
        <f>G38*'1-Data Input'!$D$7</f>
        <v>0</v>
      </c>
      <c r="U38" s="20">
        <f>H38*'1-Data Input'!$D$8</f>
        <v>0</v>
      </c>
      <c r="V38" s="20">
        <f>I38*'1-Data Input'!$D$9</f>
        <v>0</v>
      </c>
      <c r="W38" s="20">
        <f>J38*'1-Data Input'!$D$10</f>
        <v>0</v>
      </c>
      <c r="X38" s="20">
        <f>K38*'1-Data Input'!$D$11</f>
        <v>0</v>
      </c>
      <c r="Y38" s="20">
        <f>L38*'1-Data Input'!$D$12</f>
        <v>0</v>
      </c>
      <c r="Z38" s="21">
        <f>M38*'1-Data Input'!$D$13</f>
        <v>0</v>
      </c>
    </row>
    <row r="39" spans="1:26" x14ac:dyDescent="0.25">
      <c r="A39" s="32">
        <v>0.33333333333333298</v>
      </c>
      <c r="B39" s="42">
        <v>5.2417479523976691E-2</v>
      </c>
      <c r="C39" s="42">
        <v>5.1015173425364303E-2</v>
      </c>
      <c r="D39" s="42">
        <v>4.9097334898618457E-2</v>
      </c>
      <c r="E39" s="42">
        <v>5.0829794877084271E-2</v>
      </c>
      <c r="F39" s="42">
        <v>4.9922509378443357E-2</v>
      </c>
      <c r="G39" s="42">
        <v>4.9926189870195974E-2</v>
      </c>
      <c r="H39" s="42">
        <v>4.7181522514156679E-2</v>
      </c>
      <c r="I39" s="42">
        <v>4.7489147834110401E-2</v>
      </c>
      <c r="J39" s="42">
        <v>4.7816145764555923E-2</v>
      </c>
      <c r="K39" s="42">
        <v>4.9214213826739947E-2</v>
      </c>
      <c r="L39" s="42">
        <v>5.0011061031563629E-2</v>
      </c>
      <c r="M39" s="42">
        <v>5.0801297855478753E-2</v>
      </c>
      <c r="N39" s="32">
        <v>0.33333333333333298</v>
      </c>
      <c r="O39" s="20">
        <f>B39*'1-Data Input'!$D$2</f>
        <v>0</v>
      </c>
      <c r="P39" s="20">
        <f>C39*'1-Data Input'!$D$3</f>
        <v>0</v>
      </c>
      <c r="Q39" s="20">
        <f>D39*'1-Data Input'!$D$4</f>
        <v>0</v>
      </c>
      <c r="R39" s="20">
        <f>E39*'1-Data Input'!$D$5</f>
        <v>0</v>
      </c>
      <c r="S39" s="20">
        <f>F39*'1-Data Input'!$D$6</f>
        <v>0</v>
      </c>
      <c r="T39" s="20">
        <f>G39*'1-Data Input'!$D$7</f>
        <v>0</v>
      </c>
      <c r="U39" s="20">
        <f>H39*'1-Data Input'!$D$8</f>
        <v>0</v>
      </c>
      <c r="V39" s="20">
        <f>I39*'1-Data Input'!$D$9</f>
        <v>0</v>
      </c>
      <c r="W39" s="20">
        <f>J39*'1-Data Input'!$D$10</f>
        <v>0</v>
      </c>
      <c r="X39" s="20">
        <f>K39*'1-Data Input'!$D$11</f>
        <v>0</v>
      </c>
      <c r="Y39" s="20">
        <f>L39*'1-Data Input'!$D$12</f>
        <v>0</v>
      </c>
      <c r="Z39" s="21">
        <f>M39*'1-Data Input'!$D$13</f>
        <v>0</v>
      </c>
    </row>
    <row r="40" spans="1:26" x14ac:dyDescent="0.25">
      <c r="A40" s="32">
        <v>0.375</v>
      </c>
      <c r="B40" s="42">
        <v>4.8947208652827069E-2</v>
      </c>
      <c r="C40" s="42">
        <v>5.2050383925067313E-2</v>
      </c>
      <c r="D40" s="42">
        <v>5.2572854605927179E-2</v>
      </c>
      <c r="E40" s="42">
        <v>5.1513182263226591E-2</v>
      </c>
      <c r="F40" s="42">
        <v>5.2940196880545652E-2</v>
      </c>
      <c r="G40" s="42">
        <v>4.939424790022906E-2</v>
      </c>
      <c r="H40" s="42">
        <v>4.9626744678162832E-2</v>
      </c>
      <c r="I40" s="42">
        <v>4.9024790471064388E-2</v>
      </c>
      <c r="J40" s="42">
        <v>4.841096013819713E-2</v>
      </c>
      <c r="K40" s="42">
        <v>4.8354881164357037E-2</v>
      </c>
      <c r="L40" s="42">
        <v>4.9806305294603406E-2</v>
      </c>
      <c r="M40" s="42">
        <v>5.2144081751331423E-2</v>
      </c>
      <c r="N40" s="32">
        <v>0.375</v>
      </c>
      <c r="O40" s="20">
        <f>B40*'1-Data Input'!$D$2</f>
        <v>0</v>
      </c>
      <c r="P40" s="20">
        <f>C40*'1-Data Input'!$D$3</f>
        <v>0</v>
      </c>
      <c r="Q40" s="20">
        <f>D40*'1-Data Input'!$D$4</f>
        <v>0</v>
      </c>
      <c r="R40" s="20">
        <f>E40*'1-Data Input'!$D$5</f>
        <v>0</v>
      </c>
      <c r="S40" s="20">
        <f>F40*'1-Data Input'!$D$6</f>
        <v>0</v>
      </c>
      <c r="T40" s="20">
        <f>G40*'1-Data Input'!$D$7</f>
        <v>0</v>
      </c>
      <c r="U40" s="20">
        <f>H40*'1-Data Input'!$D$8</f>
        <v>0</v>
      </c>
      <c r="V40" s="20">
        <f>I40*'1-Data Input'!$D$9</f>
        <v>0</v>
      </c>
      <c r="W40" s="20">
        <f>J40*'1-Data Input'!$D$10</f>
        <v>0</v>
      </c>
      <c r="X40" s="20">
        <f>K40*'1-Data Input'!$D$11</f>
        <v>0</v>
      </c>
      <c r="Y40" s="20">
        <f>L40*'1-Data Input'!$D$12</f>
        <v>0</v>
      </c>
      <c r="Z40" s="21">
        <f>M40*'1-Data Input'!$D$13</f>
        <v>0</v>
      </c>
    </row>
    <row r="41" spans="1:26" x14ac:dyDescent="0.25">
      <c r="A41" s="32">
        <v>0.41666666666666702</v>
      </c>
      <c r="B41" s="42">
        <v>5.2634104235440654E-2</v>
      </c>
      <c r="C41" s="42">
        <v>5.1677708145174236E-2</v>
      </c>
      <c r="D41" s="42">
        <v>5.2046203355520827E-2</v>
      </c>
      <c r="E41" s="42">
        <v>5.2075643108177937E-2</v>
      </c>
      <c r="F41" s="42">
        <v>5.2090182807483107E-2</v>
      </c>
      <c r="G41" s="42">
        <v>5.0180707559175364E-2</v>
      </c>
      <c r="H41" s="42">
        <v>5.066977440340556E-2</v>
      </c>
      <c r="I41" s="42">
        <v>5.1309250029708021E-2</v>
      </c>
      <c r="J41" s="42">
        <v>4.9197501086643086E-2</v>
      </c>
      <c r="K41" s="42">
        <v>5.0324378725710286E-2</v>
      </c>
      <c r="L41" s="42">
        <v>4.9794906521617992E-2</v>
      </c>
      <c r="M41" s="42">
        <v>5.2126621403459646E-2</v>
      </c>
      <c r="N41" s="32">
        <v>0.41666666666666702</v>
      </c>
      <c r="O41" s="20">
        <f>B41*'1-Data Input'!$D$2</f>
        <v>0</v>
      </c>
      <c r="P41" s="20">
        <f>C41*'1-Data Input'!$D$3</f>
        <v>0</v>
      </c>
      <c r="Q41" s="20">
        <f>D41*'1-Data Input'!$D$4</f>
        <v>0</v>
      </c>
      <c r="R41" s="20">
        <f>E41*'1-Data Input'!$D$5</f>
        <v>0</v>
      </c>
      <c r="S41" s="20">
        <f>F41*'1-Data Input'!$D$6</f>
        <v>0</v>
      </c>
      <c r="T41" s="20">
        <f>G41*'1-Data Input'!$D$7</f>
        <v>0</v>
      </c>
      <c r="U41" s="20">
        <f>H41*'1-Data Input'!$D$8</f>
        <v>0</v>
      </c>
      <c r="V41" s="20">
        <f>I41*'1-Data Input'!$D$9</f>
        <v>0</v>
      </c>
      <c r="W41" s="20">
        <f>J41*'1-Data Input'!$D$10</f>
        <v>0</v>
      </c>
      <c r="X41" s="20">
        <f>K41*'1-Data Input'!$D$11</f>
        <v>0</v>
      </c>
      <c r="Y41" s="20">
        <f>L41*'1-Data Input'!$D$12</f>
        <v>0</v>
      </c>
      <c r="Z41" s="21">
        <f>M41*'1-Data Input'!$D$13</f>
        <v>0</v>
      </c>
    </row>
    <row r="42" spans="1:26" x14ac:dyDescent="0.25">
      <c r="A42" s="32">
        <v>0.45833333333333298</v>
      </c>
      <c r="B42" s="42">
        <v>5.1077826703081149E-2</v>
      </c>
      <c r="C42" s="42">
        <v>4.9818930181263051E-2</v>
      </c>
      <c r="D42" s="42">
        <v>5.3024743145134778E-2</v>
      </c>
      <c r="E42" s="42">
        <v>5.1358213376406212E-2</v>
      </c>
      <c r="F42" s="42">
        <v>5.2112189644326151E-2</v>
      </c>
      <c r="G42" s="42">
        <v>5.0740646474930005E-2</v>
      </c>
      <c r="H42" s="42">
        <v>5.0795238377132346E-2</v>
      </c>
      <c r="I42" s="42">
        <v>5.1954088872423261E-2</v>
      </c>
      <c r="J42" s="42">
        <v>5.0033706147839668E-2</v>
      </c>
      <c r="K42" s="42">
        <v>5.0801269644654326E-2</v>
      </c>
      <c r="L42" s="42">
        <v>5.0137714064734898E-2</v>
      </c>
      <c r="M42" s="42">
        <v>5.2588904899493145E-2</v>
      </c>
      <c r="N42" s="32">
        <v>0.45833333333333298</v>
      </c>
      <c r="O42" s="20">
        <f>B42*'1-Data Input'!$D$2</f>
        <v>0</v>
      </c>
      <c r="P42" s="20">
        <f>C42*'1-Data Input'!$D$3</f>
        <v>0</v>
      </c>
      <c r="Q42" s="20">
        <f>D42*'1-Data Input'!$D$4</f>
        <v>0</v>
      </c>
      <c r="R42" s="20">
        <f>E42*'1-Data Input'!$D$5</f>
        <v>0</v>
      </c>
      <c r="S42" s="20">
        <f>F42*'1-Data Input'!$D$6</f>
        <v>0</v>
      </c>
      <c r="T42" s="20">
        <f>G42*'1-Data Input'!$D$7</f>
        <v>0</v>
      </c>
      <c r="U42" s="20">
        <f>H42*'1-Data Input'!$D$8</f>
        <v>0</v>
      </c>
      <c r="V42" s="20">
        <f>I42*'1-Data Input'!$D$9</f>
        <v>0</v>
      </c>
      <c r="W42" s="20">
        <f>J42*'1-Data Input'!$D$10</f>
        <v>0</v>
      </c>
      <c r="X42" s="20">
        <f>K42*'1-Data Input'!$D$11</f>
        <v>0</v>
      </c>
      <c r="Y42" s="20">
        <f>L42*'1-Data Input'!$D$12</f>
        <v>0</v>
      </c>
      <c r="Z42" s="21">
        <f>M42*'1-Data Input'!$D$13</f>
        <v>0</v>
      </c>
    </row>
    <row r="43" spans="1:26" x14ac:dyDescent="0.25">
      <c r="A43" s="32">
        <v>0.5</v>
      </c>
      <c r="B43" s="42">
        <v>5.1605136855986847E-2</v>
      </c>
      <c r="C43" s="42">
        <v>5.0352638705554377E-2</v>
      </c>
      <c r="D43" s="42">
        <v>5.2083111529403758E-2</v>
      </c>
      <c r="E43" s="42">
        <v>5.0651961728273992E-2</v>
      </c>
      <c r="F43" s="42">
        <v>5.1628039233779205E-2</v>
      </c>
      <c r="G43" s="42">
        <v>5.0577755153983203E-2</v>
      </c>
      <c r="H43" s="42">
        <v>5.1866541673919138E-2</v>
      </c>
      <c r="I43" s="42">
        <v>5.1233232442558667E-2</v>
      </c>
      <c r="J43" s="42">
        <v>5.0564996656334731E-2</v>
      </c>
      <c r="K43" s="42">
        <v>4.9760006193388544E-2</v>
      </c>
      <c r="L43" s="42">
        <v>5.1034839716364758E-2</v>
      </c>
      <c r="M43" s="42">
        <v>5.1121404233127832E-2</v>
      </c>
      <c r="N43" s="32">
        <v>0.5</v>
      </c>
      <c r="O43" s="20">
        <f>B43*'1-Data Input'!$D$2</f>
        <v>0</v>
      </c>
      <c r="P43" s="20">
        <f>C43*'1-Data Input'!$D$3</f>
        <v>0</v>
      </c>
      <c r="Q43" s="20">
        <f>D43*'1-Data Input'!$D$4</f>
        <v>0</v>
      </c>
      <c r="R43" s="20">
        <f>E43*'1-Data Input'!$D$5</f>
        <v>0</v>
      </c>
      <c r="S43" s="20">
        <f>F43*'1-Data Input'!$D$6</f>
        <v>0</v>
      </c>
      <c r="T43" s="20">
        <f>G43*'1-Data Input'!$D$7</f>
        <v>0</v>
      </c>
      <c r="U43" s="20">
        <f>H43*'1-Data Input'!$D$8</f>
        <v>0</v>
      </c>
      <c r="V43" s="20">
        <f>I43*'1-Data Input'!$D$9</f>
        <v>0</v>
      </c>
      <c r="W43" s="20">
        <f>J43*'1-Data Input'!$D$10</f>
        <v>0</v>
      </c>
      <c r="X43" s="20">
        <f>K43*'1-Data Input'!$D$11</f>
        <v>0</v>
      </c>
      <c r="Y43" s="20">
        <f>L43*'1-Data Input'!$D$12</f>
        <v>0</v>
      </c>
      <c r="Z43" s="21">
        <f>M43*'1-Data Input'!$D$13</f>
        <v>0</v>
      </c>
    </row>
    <row r="44" spans="1:26" x14ac:dyDescent="0.25">
      <c r="A44" s="32">
        <v>0.54166666666666696</v>
      </c>
      <c r="B44" s="42">
        <v>4.9173809502318977E-2</v>
      </c>
      <c r="C44" s="42">
        <v>4.8657654047373988E-2</v>
      </c>
      <c r="D44" s="42">
        <v>4.9712471130000532E-2</v>
      </c>
      <c r="E44" s="42">
        <v>4.9722148407351723E-2</v>
      </c>
      <c r="F44" s="42">
        <v>5.2565530483292836E-2</v>
      </c>
      <c r="G44" s="42">
        <v>5.0156273861033343E-2</v>
      </c>
      <c r="H44" s="42">
        <v>5.1464968603082362E-2</v>
      </c>
      <c r="I44" s="42">
        <v>5.1251581515318854E-2</v>
      </c>
      <c r="J44" s="42">
        <v>4.9955167550931705E-2</v>
      </c>
      <c r="K44" s="42">
        <v>4.8457072075559326E-2</v>
      </c>
      <c r="L44" s="42">
        <v>4.939974905812361E-2</v>
      </c>
      <c r="M44" s="42">
        <v>5.0460405349410896E-2</v>
      </c>
      <c r="N44" s="32">
        <v>0.54166666666666696</v>
      </c>
      <c r="O44" s="20">
        <f>B44*'1-Data Input'!$D$2</f>
        <v>0</v>
      </c>
      <c r="P44" s="20">
        <f>C44*'1-Data Input'!$D$3</f>
        <v>0</v>
      </c>
      <c r="Q44" s="20">
        <f>D44*'1-Data Input'!$D$4</f>
        <v>0</v>
      </c>
      <c r="R44" s="20">
        <f>E44*'1-Data Input'!$D$5</f>
        <v>0</v>
      </c>
      <c r="S44" s="20">
        <f>F44*'1-Data Input'!$D$6</f>
        <v>0</v>
      </c>
      <c r="T44" s="20">
        <f>G44*'1-Data Input'!$D$7</f>
        <v>0</v>
      </c>
      <c r="U44" s="20">
        <f>H44*'1-Data Input'!$D$8</f>
        <v>0</v>
      </c>
      <c r="V44" s="20">
        <f>I44*'1-Data Input'!$D$9</f>
        <v>0</v>
      </c>
      <c r="W44" s="20">
        <f>J44*'1-Data Input'!$D$10</f>
        <v>0</v>
      </c>
      <c r="X44" s="20">
        <f>K44*'1-Data Input'!$D$11</f>
        <v>0</v>
      </c>
      <c r="Y44" s="20">
        <f>L44*'1-Data Input'!$D$12</f>
        <v>0</v>
      </c>
      <c r="Z44" s="21">
        <f>M44*'1-Data Input'!$D$13</f>
        <v>0</v>
      </c>
    </row>
    <row r="45" spans="1:26" x14ac:dyDescent="0.25">
      <c r="A45" s="32">
        <v>0.58333333333333304</v>
      </c>
      <c r="B45" s="42">
        <v>4.7989974456336099E-2</v>
      </c>
      <c r="C45" s="42">
        <v>4.760127924412149E-2</v>
      </c>
      <c r="D45" s="42">
        <v>4.926768031653965E-2</v>
      </c>
      <c r="E45" s="42">
        <v>4.8878711187280148E-2</v>
      </c>
      <c r="F45" s="42">
        <v>5.043967004425487E-2</v>
      </c>
      <c r="G45" s="42">
        <v>4.8236192415372865E-2</v>
      </c>
      <c r="H45" s="42">
        <v>4.9593611586509628E-2</v>
      </c>
      <c r="I45" s="42">
        <v>4.8922123040144275E-2</v>
      </c>
      <c r="J45" s="42">
        <v>4.7554350441529357E-2</v>
      </c>
      <c r="K45" s="42">
        <v>4.6953627003174105E-2</v>
      </c>
      <c r="L45" s="42">
        <v>4.8921844946290677E-2</v>
      </c>
      <c r="M45" s="42">
        <v>4.7117995899672353E-2</v>
      </c>
      <c r="N45" s="32">
        <v>0.58333333333333304</v>
      </c>
      <c r="O45" s="20">
        <f>B45*'1-Data Input'!$D$2</f>
        <v>0</v>
      </c>
      <c r="P45" s="20">
        <f>C45*'1-Data Input'!$D$3</f>
        <v>0</v>
      </c>
      <c r="Q45" s="20">
        <f>D45*'1-Data Input'!$D$4</f>
        <v>0</v>
      </c>
      <c r="R45" s="20">
        <f>E45*'1-Data Input'!$D$5</f>
        <v>0</v>
      </c>
      <c r="S45" s="20">
        <f>F45*'1-Data Input'!$D$6</f>
        <v>0</v>
      </c>
      <c r="T45" s="20">
        <f>G45*'1-Data Input'!$D$7</f>
        <v>0</v>
      </c>
      <c r="U45" s="20">
        <f>H45*'1-Data Input'!$D$8</f>
        <v>0</v>
      </c>
      <c r="V45" s="20">
        <f>I45*'1-Data Input'!$D$9</f>
        <v>0</v>
      </c>
      <c r="W45" s="20">
        <f>J45*'1-Data Input'!$D$10</f>
        <v>0</v>
      </c>
      <c r="X45" s="20">
        <f>K45*'1-Data Input'!$D$11</f>
        <v>0</v>
      </c>
      <c r="Y45" s="20">
        <f>L45*'1-Data Input'!$D$12</f>
        <v>0</v>
      </c>
      <c r="Z45" s="21">
        <f>M45*'1-Data Input'!$D$13</f>
        <v>0</v>
      </c>
    </row>
    <row r="46" spans="1:26" x14ac:dyDescent="0.25">
      <c r="A46" s="32">
        <v>0.625</v>
      </c>
      <c r="B46" s="42">
        <v>4.667407434503091E-2</v>
      </c>
      <c r="C46" s="42">
        <v>4.6018557413464445E-2</v>
      </c>
      <c r="D46" s="42">
        <v>4.6106826450668686E-2</v>
      </c>
      <c r="E46" s="42">
        <v>4.6140080695601979E-2</v>
      </c>
      <c r="F46" s="42">
        <v>4.8475559856013269E-2</v>
      </c>
      <c r="G46" s="42">
        <v>4.7164672944769663E-2</v>
      </c>
      <c r="H46" s="42">
        <v>4.6962844109245554E-2</v>
      </c>
      <c r="I46" s="42">
        <v>4.6272429557035907E-2</v>
      </c>
      <c r="J46" s="42">
        <v>4.6845963096869274E-2</v>
      </c>
      <c r="K46" s="42">
        <v>4.6131067585352632E-2</v>
      </c>
      <c r="L46" s="42">
        <v>4.6082706119367954E-2</v>
      </c>
      <c r="M46" s="42">
        <v>4.6363459438070929E-2</v>
      </c>
      <c r="N46" s="32">
        <v>0.625</v>
      </c>
      <c r="O46" s="20">
        <f>B46*'1-Data Input'!$D$2</f>
        <v>0</v>
      </c>
      <c r="P46" s="20">
        <f>C46*'1-Data Input'!$D$3</f>
        <v>0</v>
      </c>
      <c r="Q46" s="20">
        <f>D46*'1-Data Input'!$D$4</f>
        <v>0</v>
      </c>
      <c r="R46" s="20">
        <f>E46*'1-Data Input'!$D$5</f>
        <v>0</v>
      </c>
      <c r="S46" s="20">
        <f>F46*'1-Data Input'!$D$6</f>
        <v>0</v>
      </c>
      <c r="T46" s="20">
        <f>G46*'1-Data Input'!$D$7</f>
        <v>0</v>
      </c>
      <c r="U46" s="20">
        <f>H46*'1-Data Input'!$D$8</f>
        <v>0</v>
      </c>
      <c r="V46" s="20">
        <f>I46*'1-Data Input'!$D$9</f>
        <v>0</v>
      </c>
      <c r="W46" s="20">
        <f>J46*'1-Data Input'!$D$10</f>
        <v>0</v>
      </c>
      <c r="X46" s="20">
        <f>K46*'1-Data Input'!$D$11</f>
        <v>0</v>
      </c>
      <c r="Y46" s="20">
        <f>L46*'1-Data Input'!$D$12</f>
        <v>0</v>
      </c>
      <c r="Z46" s="21">
        <f>M46*'1-Data Input'!$D$13</f>
        <v>0</v>
      </c>
    </row>
    <row r="47" spans="1:26" x14ac:dyDescent="0.25">
      <c r="A47" s="32">
        <v>0.66666666666666696</v>
      </c>
      <c r="B47" s="42">
        <v>4.2629462955986699E-2</v>
      </c>
      <c r="C47" s="42">
        <v>4.2954334334343543E-2</v>
      </c>
      <c r="D47" s="42">
        <v>4.3148494359437357E-2</v>
      </c>
      <c r="E47" s="42">
        <v>4.1960493603849729E-2</v>
      </c>
      <c r="F47" s="42">
        <v>4.4147915390828837E-2</v>
      </c>
      <c r="G47" s="42">
        <v>4.4359378976838892E-2</v>
      </c>
      <c r="H47" s="42">
        <v>4.4610394601868358E-2</v>
      </c>
      <c r="I47" s="42">
        <v>4.4430969040745429E-2</v>
      </c>
      <c r="J47" s="42">
        <v>4.5584725628876638E-2</v>
      </c>
      <c r="K47" s="42">
        <v>4.3319656266935035E-2</v>
      </c>
      <c r="L47" s="42">
        <v>4.305696515690622E-2</v>
      </c>
      <c r="M47" s="42">
        <v>4.3361526771831881E-2</v>
      </c>
      <c r="N47" s="32">
        <v>0.66666666666666696</v>
      </c>
      <c r="O47" s="20">
        <f>B47*'1-Data Input'!$D$2</f>
        <v>0</v>
      </c>
      <c r="P47" s="20">
        <f>C47*'1-Data Input'!$D$3</f>
        <v>0</v>
      </c>
      <c r="Q47" s="20">
        <f>D47*'1-Data Input'!$D$4</f>
        <v>0</v>
      </c>
      <c r="R47" s="20">
        <f>E47*'1-Data Input'!$D$5</f>
        <v>0</v>
      </c>
      <c r="S47" s="20">
        <f>F47*'1-Data Input'!$D$6</f>
        <v>0</v>
      </c>
      <c r="T47" s="20">
        <f>G47*'1-Data Input'!$D$7</f>
        <v>0</v>
      </c>
      <c r="U47" s="20">
        <f>H47*'1-Data Input'!$D$8</f>
        <v>0</v>
      </c>
      <c r="V47" s="20">
        <f>I47*'1-Data Input'!$D$9</f>
        <v>0</v>
      </c>
      <c r="W47" s="20">
        <f>J47*'1-Data Input'!$D$10</f>
        <v>0</v>
      </c>
      <c r="X47" s="20">
        <f>K47*'1-Data Input'!$D$11</f>
        <v>0</v>
      </c>
      <c r="Y47" s="20">
        <f>L47*'1-Data Input'!$D$12</f>
        <v>0</v>
      </c>
      <c r="Z47" s="21">
        <f>M47*'1-Data Input'!$D$13</f>
        <v>0</v>
      </c>
    </row>
    <row r="48" spans="1:26" x14ac:dyDescent="0.25">
      <c r="A48" s="32">
        <v>0.70833333333333304</v>
      </c>
      <c r="B48" s="42">
        <v>3.9752534770403927E-2</v>
      </c>
      <c r="C48" s="42">
        <v>3.8583445557819722E-2</v>
      </c>
      <c r="D48" s="42">
        <v>3.6463383069463555E-2</v>
      </c>
      <c r="E48" s="42">
        <v>3.7924189220567471E-2</v>
      </c>
      <c r="F48" s="42">
        <v>3.9029125141137003E-2</v>
      </c>
      <c r="G48" s="42">
        <v>3.9725120895902265E-2</v>
      </c>
      <c r="H48" s="42">
        <v>4.0581410656839255E-2</v>
      </c>
      <c r="I48" s="42">
        <v>4.0499024877847602E-2</v>
      </c>
      <c r="J48" s="42">
        <v>4.1764053885177337E-2</v>
      </c>
      <c r="K48" s="42">
        <v>4.0667337617093742E-2</v>
      </c>
      <c r="L48" s="42">
        <v>3.8857150576946789E-2</v>
      </c>
      <c r="M48" s="42">
        <v>3.8296362998745517E-2</v>
      </c>
      <c r="N48" s="32">
        <v>0.70833333333333304</v>
      </c>
      <c r="O48" s="20">
        <f>B48*'1-Data Input'!$D$2</f>
        <v>0</v>
      </c>
      <c r="P48" s="20">
        <f>C48*'1-Data Input'!$D$3</f>
        <v>0</v>
      </c>
      <c r="Q48" s="20">
        <f>D48*'1-Data Input'!$D$4</f>
        <v>0</v>
      </c>
      <c r="R48" s="20">
        <f>E48*'1-Data Input'!$D$5</f>
        <v>0</v>
      </c>
      <c r="S48" s="20">
        <f>F48*'1-Data Input'!$D$6</f>
        <v>0</v>
      </c>
      <c r="T48" s="20">
        <f>G48*'1-Data Input'!$D$7</f>
        <v>0</v>
      </c>
      <c r="U48" s="20">
        <f>H48*'1-Data Input'!$D$8</f>
        <v>0</v>
      </c>
      <c r="V48" s="20">
        <f>I48*'1-Data Input'!$D$9</f>
        <v>0</v>
      </c>
      <c r="W48" s="20">
        <f>J48*'1-Data Input'!$D$10</f>
        <v>0</v>
      </c>
      <c r="X48" s="20">
        <f>K48*'1-Data Input'!$D$11</f>
        <v>0</v>
      </c>
      <c r="Y48" s="20">
        <f>L48*'1-Data Input'!$D$12</f>
        <v>0</v>
      </c>
      <c r="Z48" s="21">
        <f>M48*'1-Data Input'!$D$13</f>
        <v>0</v>
      </c>
    </row>
    <row r="49" spans="1:26" x14ac:dyDescent="0.25">
      <c r="A49" s="32">
        <v>0.75</v>
      </c>
      <c r="B49" s="42">
        <v>3.7417643417672869E-2</v>
      </c>
      <c r="C49" s="42">
        <v>3.7488422895911644E-2</v>
      </c>
      <c r="D49" s="42">
        <v>3.8043810002399037E-2</v>
      </c>
      <c r="E49" s="42">
        <v>3.7687925180005251E-2</v>
      </c>
      <c r="F49" s="42">
        <v>3.5700591068626733E-2</v>
      </c>
      <c r="G49" s="42">
        <v>3.7398829218630698E-2</v>
      </c>
      <c r="H49" s="42">
        <v>3.8268720859445896E-2</v>
      </c>
      <c r="I49" s="42">
        <v>3.8264369945267336E-2</v>
      </c>
      <c r="J49" s="42">
        <v>3.8801531810634206E-2</v>
      </c>
      <c r="K49" s="42">
        <v>3.831578539908647E-2</v>
      </c>
      <c r="L49" s="42">
        <v>3.8964805655142369E-2</v>
      </c>
      <c r="M49" s="42">
        <v>3.7321493575905113E-2</v>
      </c>
      <c r="N49" s="32">
        <v>0.75</v>
      </c>
      <c r="O49" s="20">
        <f>B49*'1-Data Input'!$D$2</f>
        <v>0</v>
      </c>
      <c r="P49" s="20">
        <f>C49*'1-Data Input'!$D$3</f>
        <v>0</v>
      </c>
      <c r="Q49" s="20">
        <f>D49*'1-Data Input'!$D$4</f>
        <v>0</v>
      </c>
      <c r="R49" s="20">
        <f>E49*'1-Data Input'!$D$5</f>
        <v>0</v>
      </c>
      <c r="S49" s="20">
        <f>F49*'1-Data Input'!$D$6</f>
        <v>0</v>
      </c>
      <c r="T49" s="20">
        <f>G49*'1-Data Input'!$D$7</f>
        <v>0</v>
      </c>
      <c r="U49" s="20">
        <f>H49*'1-Data Input'!$D$8</f>
        <v>0</v>
      </c>
      <c r="V49" s="20">
        <f>I49*'1-Data Input'!$D$9</f>
        <v>0</v>
      </c>
      <c r="W49" s="20">
        <f>J49*'1-Data Input'!$D$10</f>
        <v>0</v>
      </c>
      <c r="X49" s="20">
        <f>K49*'1-Data Input'!$D$11</f>
        <v>0</v>
      </c>
      <c r="Y49" s="20">
        <f>L49*'1-Data Input'!$D$12</f>
        <v>0</v>
      </c>
      <c r="Z49" s="21">
        <f>M49*'1-Data Input'!$D$13</f>
        <v>0</v>
      </c>
    </row>
    <row r="50" spans="1:26" x14ac:dyDescent="0.25">
      <c r="A50" s="32">
        <v>0.79166666666666696</v>
      </c>
      <c r="B50" s="42">
        <v>3.7470374432963437E-2</v>
      </c>
      <c r="C50" s="42">
        <v>3.6980479610724037E-2</v>
      </c>
      <c r="D50" s="42">
        <v>3.6272217656018665E-2</v>
      </c>
      <c r="E50" s="42">
        <v>3.6204796718927588E-2</v>
      </c>
      <c r="F50" s="42">
        <v>3.4508920853575938E-2</v>
      </c>
      <c r="G50" s="42">
        <v>3.5648765589208452E-2</v>
      </c>
      <c r="H50" s="42">
        <v>3.7140870419570975E-2</v>
      </c>
      <c r="I50" s="42">
        <v>3.7631326935040788E-2</v>
      </c>
      <c r="J50" s="42">
        <v>3.7717006185684493E-2</v>
      </c>
      <c r="K50" s="42">
        <v>3.8080049547108454E-2</v>
      </c>
      <c r="L50" s="42">
        <v>3.6359552762809264E-2</v>
      </c>
      <c r="M50" s="42">
        <v>3.6023191994868614E-2</v>
      </c>
      <c r="N50" s="32">
        <v>0.79166666666666696</v>
      </c>
      <c r="O50" s="20">
        <f>B50*'1-Data Input'!$D$2</f>
        <v>0</v>
      </c>
      <c r="P50" s="20">
        <f>C50*'1-Data Input'!$D$3</f>
        <v>0</v>
      </c>
      <c r="Q50" s="20">
        <f>D50*'1-Data Input'!$D$4</f>
        <v>0</v>
      </c>
      <c r="R50" s="20">
        <f>E50*'1-Data Input'!$D$5</f>
        <v>0</v>
      </c>
      <c r="S50" s="20">
        <f>F50*'1-Data Input'!$D$6</f>
        <v>0</v>
      </c>
      <c r="T50" s="20">
        <f>G50*'1-Data Input'!$D$7</f>
        <v>0</v>
      </c>
      <c r="U50" s="20">
        <f>H50*'1-Data Input'!$D$8</f>
        <v>0</v>
      </c>
      <c r="V50" s="20">
        <f>I50*'1-Data Input'!$D$9</f>
        <v>0</v>
      </c>
      <c r="W50" s="20">
        <f>J50*'1-Data Input'!$D$10</f>
        <v>0</v>
      </c>
      <c r="X50" s="20">
        <f>K50*'1-Data Input'!$D$11</f>
        <v>0</v>
      </c>
      <c r="Y50" s="20">
        <f>L50*'1-Data Input'!$D$12</f>
        <v>0</v>
      </c>
      <c r="Z50" s="21">
        <f>M50*'1-Data Input'!$D$13</f>
        <v>0</v>
      </c>
    </row>
    <row r="51" spans="1:26" x14ac:dyDescent="0.25">
      <c r="A51" s="32">
        <v>0.83333333333333304</v>
      </c>
      <c r="B51" s="42">
        <v>3.3975875798031657E-2</v>
      </c>
      <c r="C51" s="42">
        <v>3.5896499194146128E-2</v>
      </c>
      <c r="D51" s="42">
        <v>3.5062765188778218E-2</v>
      </c>
      <c r="E51" s="42">
        <v>3.6196667203553412E-2</v>
      </c>
      <c r="F51" s="42">
        <v>3.3175306540887531E-2</v>
      </c>
      <c r="G51" s="42">
        <v>3.5713922117587171E-2</v>
      </c>
      <c r="H51" s="42">
        <v>3.57837389854559E-2</v>
      </c>
      <c r="I51" s="42">
        <v>3.521274439217386E-2</v>
      </c>
      <c r="J51" s="42">
        <v>3.6366450313365148E-2</v>
      </c>
      <c r="K51" s="42">
        <v>3.7044205310830684E-2</v>
      </c>
      <c r="L51" s="42">
        <v>3.6577395979863855E-2</v>
      </c>
      <c r="M51" s="42">
        <v>3.5718883074817791E-2</v>
      </c>
      <c r="N51" s="32">
        <v>0.83333333333333304</v>
      </c>
      <c r="O51" s="20">
        <f>B51*'1-Data Input'!$D$2</f>
        <v>0</v>
      </c>
      <c r="P51" s="20">
        <f>C51*'1-Data Input'!$D$3</f>
        <v>0</v>
      </c>
      <c r="Q51" s="20">
        <f>D51*'1-Data Input'!$D$4</f>
        <v>0</v>
      </c>
      <c r="R51" s="20">
        <f>E51*'1-Data Input'!$D$5</f>
        <v>0</v>
      </c>
      <c r="S51" s="20">
        <f>F51*'1-Data Input'!$D$6</f>
        <v>0</v>
      </c>
      <c r="T51" s="20">
        <f>G51*'1-Data Input'!$D$7</f>
        <v>0</v>
      </c>
      <c r="U51" s="20">
        <f>H51*'1-Data Input'!$D$8</f>
        <v>0</v>
      </c>
      <c r="V51" s="20">
        <f>I51*'1-Data Input'!$D$9</f>
        <v>0</v>
      </c>
      <c r="W51" s="20">
        <f>J51*'1-Data Input'!$D$10</f>
        <v>0</v>
      </c>
      <c r="X51" s="20">
        <f>K51*'1-Data Input'!$D$11</f>
        <v>0</v>
      </c>
      <c r="Y51" s="20">
        <f>L51*'1-Data Input'!$D$12</f>
        <v>0</v>
      </c>
      <c r="Z51" s="21">
        <f>M51*'1-Data Input'!$D$13</f>
        <v>0</v>
      </c>
    </row>
    <row r="52" spans="1:26" x14ac:dyDescent="0.25">
      <c r="A52" s="32">
        <v>0.875</v>
      </c>
      <c r="B52" s="42">
        <v>3.6013858280883389E-2</v>
      </c>
      <c r="C52" s="42">
        <v>3.4603636303405932E-2</v>
      </c>
      <c r="D52" s="42">
        <v>3.3217356494631999E-2</v>
      </c>
      <c r="E52" s="42">
        <v>3.569111296622135E-2</v>
      </c>
      <c r="F52" s="42">
        <v>3.3422883455371769E-2</v>
      </c>
      <c r="G52" s="42">
        <v>3.3588699414609312E-2</v>
      </c>
      <c r="H52" s="42">
        <v>3.5008424640771023E-2</v>
      </c>
      <c r="I52" s="42">
        <v>3.5164687296849552E-2</v>
      </c>
      <c r="J52" s="42">
        <v>3.6855391578429451E-2</v>
      </c>
      <c r="K52" s="42">
        <v>3.5627467678253456E-2</v>
      </c>
      <c r="L52" s="42">
        <v>3.5196877918296975E-2</v>
      </c>
      <c r="M52" s="42">
        <v>3.3698471392513155E-2</v>
      </c>
      <c r="N52" s="32">
        <v>0.875</v>
      </c>
      <c r="O52" s="20">
        <f>B52*'1-Data Input'!$D$2</f>
        <v>0</v>
      </c>
      <c r="P52" s="20">
        <f>C52*'1-Data Input'!$D$3</f>
        <v>0</v>
      </c>
      <c r="Q52" s="20">
        <f>D52*'1-Data Input'!$D$4</f>
        <v>0</v>
      </c>
      <c r="R52" s="20">
        <f>E52*'1-Data Input'!$D$5</f>
        <v>0</v>
      </c>
      <c r="S52" s="20">
        <f>F52*'1-Data Input'!$D$6</f>
        <v>0</v>
      </c>
      <c r="T52" s="20">
        <f>G52*'1-Data Input'!$D$7</f>
        <v>0</v>
      </c>
      <c r="U52" s="20">
        <f>H52*'1-Data Input'!$D$8</f>
        <v>0</v>
      </c>
      <c r="V52" s="20">
        <f>I52*'1-Data Input'!$D$9</f>
        <v>0</v>
      </c>
      <c r="W52" s="20">
        <f>J52*'1-Data Input'!$D$10</f>
        <v>0</v>
      </c>
      <c r="X52" s="20">
        <f>K52*'1-Data Input'!$D$11</f>
        <v>0</v>
      </c>
      <c r="Y52" s="20">
        <f>L52*'1-Data Input'!$D$12</f>
        <v>0</v>
      </c>
      <c r="Z52" s="21">
        <f>M52*'1-Data Input'!$D$13</f>
        <v>0</v>
      </c>
    </row>
    <row r="53" spans="1:26" x14ac:dyDescent="0.25">
      <c r="A53" s="32">
        <v>0.91666666666666696</v>
      </c>
      <c r="B53" s="42">
        <v>3.2242878106319976E-2</v>
      </c>
      <c r="C53" s="42">
        <v>3.2872764347902497E-2</v>
      </c>
      <c r="D53" s="42">
        <v>3.3421770996137426E-2</v>
      </c>
      <c r="E53" s="42">
        <v>3.2022161058910023E-2</v>
      </c>
      <c r="F53" s="42">
        <v>3.1168283020801994E-2</v>
      </c>
      <c r="G53" s="42">
        <v>3.304046831254772E-2</v>
      </c>
      <c r="H53" s="42">
        <v>3.3551893931696358E-2</v>
      </c>
      <c r="I53" s="42">
        <v>3.3909086460830844E-2</v>
      </c>
      <c r="J53" s="42">
        <v>3.4473824125132002E-2</v>
      </c>
      <c r="K53" s="42">
        <v>3.5056127583804282E-2</v>
      </c>
      <c r="L53" s="42">
        <v>3.4545881327796631E-2</v>
      </c>
      <c r="M53" s="42">
        <v>3.3334298422616267E-2</v>
      </c>
      <c r="N53" s="32">
        <v>0.91666666666666696</v>
      </c>
      <c r="O53" s="20">
        <f>B53*'1-Data Input'!$D$2</f>
        <v>0</v>
      </c>
      <c r="P53" s="20">
        <f>C53*'1-Data Input'!$D$3</f>
        <v>0</v>
      </c>
      <c r="Q53" s="20">
        <f>D53*'1-Data Input'!$D$4</f>
        <v>0</v>
      </c>
      <c r="R53" s="20">
        <f>E53*'1-Data Input'!$D$5</f>
        <v>0</v>
      </c>
      <c r="S53" s="20">
        <f>F53*'1-Data Input'!$D$6</f>
        <v>0</v>
      </c>
      <c r="T53" s="20">
        <f>G53*'1-Data Input'!$D$7</f>
        <v>0</v>
      </c>
      <c r="U53" s="20">
        <f>H53*'1-Data Input'!$D$8</f>
        <v>0</v>
      </c>
      <c r="V53" s="20">
        <f>I53*'1-Data Input'!$D$9</f>
        <v>0</v>
      </c>
      <c r="W53" s="20">
        <f>J53*'1-Data Input'!$D$10</f>
        <v>0</v>
      </c>
      <c r="X53" s="20">
        <f>K53*'1-Data Input'!$D$11</f>
        <v>0</v>
      </c>
      <c r="Y53" s="20">
        <f>L53*'1-Data Input'!$D$12</f>
        <v>0</v>
      </c>
      <c r="Z53" s="21">
        <f>M53*'1-Data Input'!$D$13</f>
        <v>0</v>
      </c>
    </row>
    <row r="54" spans="1:26" x14ac:dyDescent="0.25">
      <c r="A54" s="32">
        <v>0.95833333333333304</v>
      </c>
      <c r="B54" s="43">
        <v>3.2854747905367306E-2</v>
      </c>
      <c r="C54" s="43">
        <v>3.317274534603866E-2</v>
      </c>
      <c r="D54" s="43">
        <v>3.2876665658789613E-2</v>
      </c>
      <c r="E54" s="43">
        <v>3.2365633083469285E-2</v>
      </c>
      <c r="F54" s="43">
        <v>3.2229012556636676E-2</v>
      </c>
      <c r="G54" s="43">
        <v>3.3128022397556633E-2</v>
      </c>
      <c r="H54" s="43">
        <v>3.2912204375511914E-2</v>
      </c>
      <c r="I54" s="43">
        <v>3.3430263038326843E-2</v>
      </c>
      <c r="J54" s="43">
        <v>3.4988174936254765E-2</v>
      </c>
      <c r="K54" s="43">
        <v>3.3436556475961901E-2</v>
      </c>
      <c r="L54" s="43">
        <v>3.3394183079492511E-2</v>
      </c>
      <c r="M54" s="43">
        <v>3.1927493251233778E-2</v>
      </c>
      <c r="N54" s="32">
        <v>0.95833333333333304</v>
      </c>
      <c r="O54" s="26">
        <f>B54*'1-Data Input'!$D$2</f>
        <v>0</v>
      </c>
      <c r="P54" s="26">
        <f>C54*'1-Data Input'!$D$3</f>
        <v>0</v>
      </c>
      <c r="Q54" s="26">
        <f>D54*'1-Data Input'!$D$4</f>
        <v>0</v>
      </c>
      <c r="R54" s="26">
        <f>E54*'1-Data Input'!$D$5</f>
        <v>0</v>
      </c>
      <c r="S54" s="26">
        <f>F54*'1-Data Input'!$D$6</f>
        <v>0</v>
      </c>
      <c r="T54" s="26">
        <f>G54*'1-Data Input'!$D$7</f>
        <v>0</v>
      </c>
      <c r="U54" s="26">
        <f>H54*'1-Data Input'!$D$8</f>
        <v>0</v>
      </c>
      <c r="V54" s="26">
        <f>I54*'1-Data Input'!$D$9</f>
        <v>0</v>
      </c>
      <c r="W54" s="26">
        <f>J54*'1-Data Input'!$D$10</f>
        <v>0</v>
      </c>
      <c r="X54" s="26">
        <f>K54*'1-Data Input'!$D$11</f>
        <v>0</v>
      </c>
      <c r="Y54" s="26">
        <f>L54*'1-Data Input'!$D$12</f>
        <v>0</v>
      </c>
      <c r="Z54" s="27">
        <f>M54*'1-Data Input'!$D$13</f>
        <v>0</v>
      </c>
    </row>
    <row r="55" spans="1:26" ht="20.25" x14ac:dyDescent="0.25">
      <c r="A55" s="65" t="s">
        <v>33</v>
      </c>
      <c r="B55" s="65"/>
      <c r="C55" s="65"/>
      <c r="D55" s="65"/>
      <c r="E55" s="65"/>
      <c r="F55" s="65"/>
      <c r="G55" s="66" t="s">
        <v>49</v>
      </c>
      <c r="H55" s="66"/>
      <c r="I55" s="66"/>
      <c r="J55" s="66"/>
      <c r="K55" s="66"/>
      <c r="L55" s="66"/>
      <c r="M55" s="66"/>
      <c r="N55" s="66"/>
      <c r="O55" s="66"/>
      <c r="P55" s="66"/>
      <c r="Q55" s="66"/>
      <c r="R55" s="66"/>
      <c r="S55" s="66"/>
      <c r="T55" s="66"/>
      <c r="U55" s="66"/>
      <c r="V55" s="66"/>
      <c r="W55" s="66"/>
      <c r="X55" s="66"/>
      <c r="Y55" s="66"/>
      <c r="Z55" s="66"/>
    </row>
    <row r="56" spans="1:26" ht="33.75" x14ac:dyDescent="0.5">
      <c r="A56" s="67" t="s">
        <v>15</v>
      </c>
      <c r="B56" s="67"/>
      <c r="C56" s="67"/>
      <c r="D56" s="67"/>
      <c r="E56" s="67"/>
      <c r="F56" s="67"/>
      <c r="G56" s="67"/>
      <c r="H56" s="67"/>
      <c r="I56" s="67"/>
      <c r="J56" s="67"/>
      <c r="K56" s="67"/>
      <c r="L56" s="67"/>
      <c r="M56" s="68"/>
      <c r="N56" s="69" t="s">
        <v>27</v>
      </c>
      <c r="O56" s="69"/>
      <c r="P56" s="69"/>
      <c r="Q56" s="69"/>
      <c r="R56" s="69"/>
      <c r="S56" s="69"/>
      <c r="T56" s="69"/>
      <c r="U56" s="69"/>
      <c r="V56" s="69"/>
      <c r="W56" s="69"/>
      <c r="X56" s="69"/>
      <c r="Y56" s="69"/>
      <c r="Z56" s="69"/>
    </row>
    <row r="57" spans="1:26" ht="46.5" x14ac:dyDescent="0.25">
      <c r="A57" s="28" t="s">
        <v>30</v>
      </c>
      <c r="B57" s="29" t="s">
        <v>16</v>
      </c>
      <c r="C57" s="29" t="s">
        <v>17</v>
      </c>
      <c r="D57" s="29" t="s">
        <v>18</v>
      </c>
      <c r="E57" s="29" t="s">
        <v>19</v>
      </c>
      <c r="F57" s="29" t="s">
        <v>4</v>
      </c>
      <c r="G57" s="29" t="s">
        <v>20</v>
      </c>
      <c r="H57" s="29" t="s">
        <v>21</v>
      </c>
      <c r="I57" s="29" t="s">
        <v>22</v>
      </c>
      <c r="J57" s="29" t="s">
        <v>23</v>
      </c>
      <c r="K57" s="29" t="s">
        <v>24</v>
      </c>
      <c r="L57" s="29" t="s">
        <v>25</v>
      </c>
      <c r="M57" s="30" t="s">
        <v>26</v>
      </c>
      <c r="N57" s="40" t="s">
        <v>30</v>
      </c>
      <c r="O57" s="40" t="s">
        <v>16</v>
      </c>
      <c r="P57" s="40" t="s">
        <v>17</v>
      </c>
      <c r="Q57" s="40" t="s">
        <v>18</v>
      </c>
      <c r="R57" s="40" t="s">
        <v>19</v>
      </c>
      <c r="S57" s="40" t="s">
        <v>4</v>
      </c>
      <c r="T57" s="40" t="s">
        <v>20</v>
      </c>
      <c r="U57" s="40" t="s">
        <v>21</v>
      </c>
      <c r="V57" s="40" t="s">
        <v>22</v>
      </c>
      <c r="W57" s="40" t="s">
        <v>23</v>
      </c>
      <c r="X57" s="40" t="s">
        <v>24</v>
      </c>
      <c r="Y57" s="40" t="s">
        <v>25</v>
      </c>
      <c r="Z57" s="40" t="s">
        <v>26</v>
      </c>
    </row>
    <row r="58" spans="1:26" x14ac:dyDescent="0.25">
      <c r="A58" s="32">
        <v>0</v>
      </c>
      <c r="B58" s="42">
        <v>3.1716993115989703E-2</v>
      </c>
      <c r="C58" s="42">
        <v>3.2898989680561638E-2</v>
      </c>
      <c r="D58" s="42">
        <v>3.2635342983401261E-2</v>
      </c>
      <c r="E58" s="42">
        <v>3.4075371785602319E-2</v>
      </c>
      <c r="F58" s="42">
        <v>3.1788875819775818E-2</v>
      </c>
      <c r="G58" s="42">
        <v>3.2336472384830742E-2</v>
      </c>
      <c r="H58" s="42">
        <v>3.2914413248288789E-2</v>
      </c>
      <c r="I58" s="42">
        <v>3.2523731467436513E-2</v>
      </c>
      <c r="J58" s="42">
        <v>3.3621449352807316E-2</v>
      </c>
      <c r="K58" s="42">
        <v>3.3560424247116194E-2</v>
      </c>
      <c r="L58" s="42">
        <v>3.3132433477605215E-2</v>
      </c>
      <c r="M58" s="42">
        <v>3.2021030829118259E-2</v>
      </c>
      <c r="N58" s="32">
        <v>0</v>
      </c>
      <c r="O58" s="41">
        <f>B58*'1-Data Input'!$D$2</f>
        <v>0</v>
      </c>
      <c r="P58" s="41">
        <f>C58*'1-Data Input'!$D$3</f>
        <v>0</v>
      </c>
      <c r="Q58" s="41">
        <f>D58*'1-Data Input'!$D$4</f>
        <v>0</v>
      </c>
      <c r="R58" s="41">
        <f>E58*'1-Data Input'!$D$5</f>
        <v>0</v>
      </c>
      <c r="S58" s="41">
        <f>F58*'1-Data Input'!$D$6</f>
        <v>0</v>
      </c>
      <c r="T58" s="41">
        <f>G58*'1-Data Input'!$D$7</f>
        <v>0</v>
      </c>
      <c r="U58" s="41">
        <f>H58*'1-Data Input'!$D$8</f>
        <v>0</v>
      </c>
      <c r="V58" s="41">
        <f>I58*'1-Data Input'!$D$9</f>
        <v>0</v>
      </c>
      <c r="W58" s="41">
        <f>J58*'1-Data Input'!$D$10</f>
        <v>0</v>
      </c>
      <c r="X58" s="41">
        <f>K58*'1-Data Input'!$D$11</f>
        <v>0</v>
      </c>
      <c r="Y58" s="41">
        <f>L58*'1-Data Input'!$D$12</f>
        <v>0</v>
      </c>
      <c r="Z58" s="41">
        <f>M58*'1-Data Input'!$D$13</f>
        <v>0</v>
      </c>
    </row>
    <row r="59" spans="1:26" x14ac:dyDescent="0.25">
      <c r="A59" s="32">
        <v>4.1666666666666699E-2</v>
      </c>
      <c r="B59" s="42">
        <v>3.2567815173515917E-2</v>
      </c>
      <c r="C59" s="42">
        <v>3.3645721521014076E-2</v>
      </c>
      <c r="D59" s="42">
        <v>3.3495587343903267E-2</v>
      </c>
      <c r="E59" s="42">
        <v>3.2637971848504449E-2</v>
      </c>
      <c r="F59" s="42">
        <v>3.217470997221878E-2</v>
      </c>
      <c r="G59" s="42">
        <v>3.1574446424026473E-2</v>
      </c>
      <c r="H59" s="42">
        <v>3.2210666381574826E-2</v>
      </c>
      <c r="I59" s="42">
        <v>3.2110877330332244E-2</v>
      </c>
      <c r="J59" s="42">
        <v>3.3563700384492627E-2</v>
      </c>
      <c r="K59" s="42">
        <v>3.306804985677788E-2</v>
      </c>
      <c r="L59" s="42">
        <v>3.2605556859612715E-2</v>
      </c>
      <c r="M59" s="42">
        <v>3.2396939966906971E-2</v>
      </c>
      <c r="N59" s="32">
        <v>4.1666666666666699E-2</v>
      </c>
      <c r="O59" s="20">
        <f>B59*'1-Data Input'!$D$2</f>
        <v>0</v>
      </c>
      <c r="P59" s="20">
        <f>C59*'1-Data Input'!$D$3</f>
        <v>0</v>
      </c>
      <c r="Q59" s="20">
        <f>D59*'1-Data Input'!$D$4</f>
        <v>0</v>
      </c>
      <c r="R59" s="20">
        <f>E59*'1-Data Input'!$D$5</f>
        <v>0</v>
      </c>
      <c r="S59" s="20">
        <f>F59*'1-Data Input'!$D$6</f>
        <v>0</v>
      </c>
      <c r="T59" s="20">
        <f>G59*'1-Data Input'!$D$7</f>
        <v>0</v>
      </c>
      <c r="U59" s="20">
        <f>H59*'1-Data Input'!$D$8</f>
        <v>0</v>
      </c>
      <c r="V59" s="20">
        <f>I59*'1-Data Input'!$D$9</f>
        <v>0</v>
      </c>
      <c r="W59" s="20">
        <f>J59*'1-Data Input'!$D$10</f>
        <v>0</v>
      </c>
      <c r="X59" s="20">
        <f>K59*'1-Data Input'!$D$11</f>
        <v>0</v>
      </c>
      <c r="Y59" s="20">
        <f>L59*'1-Data Input'!$D$12</f>
        <v>0</v>
      </c>
      <c r="Z59" s="21">
        <f>M59*'1-Data Input'!$D$13</f>
        <v>0</v>
      </c>
    </row>
    <row r="60" spans="1:26" x14ac:dyDescent="0.25">
      <c r="A60" s="32">
        <v>8.3333333333333301E-2</v>
      </c>
      <c r="B60" s="42">
        <v>3.2911754408384133E-2</v>
      </c>
      <c r="C60" s="42">
        <v>3.224335636408307E-2</v>
      </c>
      <c r="D60" s="42">
        <v>3.210064764381531E-2</v>
      </c>
      <c r="E60" s="42">
        <v>3.2914375371226698E-2</v>
      </c>
      <c r="F60" s="42">
        <v>3.1324898343001652E-2</v>
      </c>
      <c r="G60" s="42">
        <v>3.1224230083990834E-2</v>
      </c>
      <c r="H60" s="42">
        <v>3.2099339193620076E-2</v>
      </c>
      <c r="I60" s="42">
        <v>3.2058451408160271E-2</v>
      </c>
      <c r="J60" s="42">
        <v>3.2462620055292712E-2</v>
      </c>
      <c r="K60" s="42">
        <v>3.3560424247116194E-2</v>
      </c>
      <c r="L60" s="42">
        <v>3.178146779044496E-2</v>
      </c>
      <c r="M60" s="42">
        <v>3.204935192908883E-2</v>
      </c>
      <c r="N60" s="32">
        <v>8.3333333333333301E-2</v>
      </c>
      <c r="O60" s="20">
        <f>B60*'1-Data Input'!$D$2</f>
        <v>0</v>
      </c>
      <c r="P60" s="20">
        <f>C60*'1-Data Input'!$D$3</f>
        <v>0</v>
      </c>
      <c r="Q60" s="20">
        <f>D60*'1-Data Input'!$D$4</f>
        <v>0</v>
      </c>
      <c r="R60" s="20">
        <f>E60*'1-Data Input'!$D$5</f>
        <v>0</v>
      </c>
      <c r="S60" s="20">
        <f>F60*'1-Data Input'!$D$6</f>
        <v>0</v>
      </c>
      <c r="T60" s="20">
        <f>G60*'1-Data Input'!$D$7</f>
        <v>0</v>
      </c>
      <c r="U60" s="20">
        <f>H60*'1-Data Input'!$D$8</f>
        <v>0</v>
      </c>
      <c r="V60" s="20">
        <f>I60*'1-Data Input'!$D$9</f>
        <v>0</v>
      </c>
      <c r="W60" s="20">
        <f>J60*'1-Data Input'!$D$10</f>
        <v>0</v>
      </c>
      <c r="X60" s="20">
        <f>K60*'1-Data Input'!$D$11</f>
        <v>0</v>
      </c>
      <c r="Y60" s="20">
        <f>L60*'1-Data Input'!$D$12</f>
        <v>0</v>
      </c>
      <c r="Z60" s="21">
        <f>M60*'1-Data Input'!$D$13</f>
        <v>0</v>
      </c>
    </row>
    <row r="61" spans="1:26" x14ac:dyDescent="0.25">
      <c r="A61" s="32">
        <v>0.125</v>
      </c>
      <c r="B61" s="42">
        <v>3.2572090661242184E-2</v>
      </c>
      <c r="C61" s="42">
        <v>3.3692651063667277E-2</v>
      </c>
      <c r="D61" s="42">
        <v>3.3203161043138564E-2</v>
      </c>
      <c r="E61" s="42">
        <v>3.3259879774629506E-2</v>
      </c>
      <c r="F61" s="42">
        <v>2.9766997684821224E-2</v>
      </c>
      <c r="G61" s="42">
        <v>3.1878340544667851E-2</v>
      </c>
      <c r="H61" s="42">
        <v>3.1708368712112314E-2</v>
      </c>
      <c r="I61" s="42">
        <v>3.135725469911016E-2</v>
      </c>
      <c r="J61" s="42">
        <v>3.1917854787524222E-2</v>
      </c>
      <c r="K61" s="42">
        <v>3.2596578152821853E-2</v>
      </c>
      <c r="L61" s="42">
        <v>3.3214757949166542E-2</v>
      </c>
      <c r="M61" s="42">
        <v>3.1809012319246779E-2</v>
      </c>
      <c r="N61" s="32">
        <v>0.125</v>
      </c>
      <c r="O61" s="20">
        <f>B61*'1-Data Input'!$D$2</f>
        <v>0</v>
      </c>
      <c r="P61" s="20">
        <f>C61*'1-Data Input'!$D$3</f>
        <v>0</v>
      </c>
      <c r="Q61" s="20">
        <f>D61*'1-Data Input'!$D$4</f>
        <v>0</v>
      </c>
      <c r="R61" s="20">
        <f>E61*'1-Data Input'!$D$5</f>
        <v>0</v>
      </c>
      <c r="S61" s="20">
        <f>F61*'1-Data Input'!$D$6</f>
        <v>0</v>
      </c>
      <c r="T61" s="20">
        <f>G61*'1-Data Input'!$D$7</f>
        <v>0</v>
      </c>
      <c r="U61" s="20">
        <f>H61*'1-Data Input'!$D$8</f>
        <v>0</v>
      </c>
      <c r="V61" s="20">
        <f>I61*'1-Data Input'!$D$9</f>
        <v>0</v>
      </c>
      <c r="W61" s="20">
        <f>J61*'1-Data Input'!$D$10</f>
        <v>0</v>
      </c>
      <c r="X61" s="20">
        <f>K61*'1-Data Input'!$D$11</f>
        <v>0</v>
      </c>
      <c r="Y61" s="20">
        <f>L61*'1-Data Input'!$D$12</f>
        <v>0</v>
      </c>
      <c r="Z61" s="21">
        <f>M61*'1-Data Input'!$D$13</f>
        <v>0</v>
      </c>
    </row>
    <row r="62" spans="1:26" x14ac:dyDescent="0.25">
      <c r="A62" s="32">
        <v>0.16666666666666699</v>
      </c>
      <c r="B62" s="42">
        <v>3.5024795453541362E-2</v>
      </c>
      <c r="C62" s="42">
        <v>3.5837607219051916E-2</v>
      </c>
      <c r="D62" s="42">
        <v>3.5426168747010087E-2</v>
      </c>
      <c r="E62" s="42">
        <v>3.5497528881373606E-2</v>
      </c>
      <c r="F62" s="42">
        <v>3.3512011144586094E-2</v>
      </c>
      <c r="G62" s="42">
        <v>3.4445405955713923E-2</v>
      </c>
      <c r="H62" s="42">
        <v>3.4230459648753889E-2</v>
      </c>
      <c r="I62" s="42">
        <v>3.2624651367617552E-2</v>
      </c>
      <c r="J62" s="42">
        <v>3.3457442282793612E-2</v>
      </c>
      <c r="K62" s="42">
        <v>3.3667260199736773E-2</v>
      </c>
      <c r="L62" s="42">
        <v>3.3319879966698697E-2</v>
      </c>
      <c r="M62" s="42">
        <v>3.3039966844206452E-2</v>
      </c>
      <c r="N62" s="32">
        <v>0.16666666666666699</v>
      </c>
      <c r="O62" s="20">
        <f>B62*'1-Data Input'!$D$2</f>
        <v>0</v>
      </c>
      <c r="P62" s="20">
        <f>C62*'1-Data Input'!$D$3</f>
        <v>0</v>
      </c>
      <c r="Q62" s="20">
        <f>D62*'1-Data Input'!$D$4</f>
        <v>0</v>
      </c>
      <c r="R62" s="20">
        <f>E62*'1-Data Input'!$D$5</f>
        <v>0</v>
      </c>
      <c r="S62" s="20">
        <f>F62*'1-Data Input'!$D$6</f>
        <v>0</v>
      </c>
      <c r="T62" s="20">
        <f>G62*'1-Data Input'!$D$7</f>
        <v>0</v>
      </c>
      <c r="U62" s="20">
        <f>H62*'1-Data Input'!$D$8</f>
        <v>0</v>
      </c>
      <c r="V62" s="20">
        <f>I62*'1-Data Input'!$D$9</f>
        <v>0</v>
      </c>
      <c r="W62" s="20">
        <f>J62*'1-Data Input'!$D$10</f>
        <v>0</v>
      </c>
      <c r="X62" s="20">
        <f>K62*'1-Data Input'!$D$11</f>
        <v>0</v>
      </c>
      <c r="Y62" s="20">
        <f>L62*'1-Data Input'!$D$12</f>
        <v>0</v>
      </c>
      <c r="Z62" s="21">
        <f>M62*'1-Data Input'!$D$13</f>
        <v>0</v>
      </c>
    </row>
    <row r="63" spans="1:26" x14ac:dyDescent="0.25">
      <c r="A63" s="32">
        <v>0.20833333333333301</v>
      </c>
      <c r="B63" s="42">
        <v>4.1358217938711354E-2</v>
      </c>
      <c r="C63" s="42">
        <v>4.2595461361113161E-2</v>
      </c>
      <c r="D63" s="42">
        <v>4.348539974154815E-2</v>
      </c>
      <c r="E63" s="42">
        <v>4.290351738725505E-2</v>
      </c>
      <c r="F63" s="42">
        <v>4.4387789912418006E-2</v>
      </c>
      <c r="G63" s="42">
        <v>4.7045049630949347E-2</v>
      </c>
      <c r="H63" s="42">
        <v>4.2604738120461325E-2</v>
      </c>
      <c r="I63" s="42">
        <v>4.3487302441649944E-2</v>
      </c>
      <c r="J63" s="42">
        <v>4.2310744118556322E-2</v>
      </c>
      <c r="K63" s="42">
        <v>4.2293102113493838E-2</v>
      </c>
      <c r="L63" s="42">
        <v>4.2437209647921456E-2</v>
      </c>
      <c r="M63" s="42">
        <v>4.2852682348140339E-2</v>
      </c>
      <c r="N63" s="32">
        <v>0.20833333333333301</v>
      </c>
      <c r="O63" s="20">
        <f>B63*'1-Data Input'!$D$2</f>
        <v>0</v>
      </c>
      <c r="P63" s="20">
        <f>C63*'1-Data Input'!$D$3</f>
        <v>0</v>
      </c>
      <c r="Q63" s="20">
        <f>D63*'1-Data Input'!$D$4</f>
        <v>0</v>
      </c>
      <c r="R63" s="20">
        <f>E63*'1-Data Input'!$D$5</f>
        <v>0</v>
      </c>
      <c r="S63" s="20">
        <f>F63*'1-Data Input'!$D$6</f>
        <v>0</v>
      </c>
      <c r="T63" s="20">
        <f>G63*'1-Data Input'!$D$7</f>
        <v>0</v>
      </c>
      <c r="U63" s="20">
        <f>H63*'1-Data Input'!$D$8</f>
        <v>0</v>
      </c>
      <c r="V63" s="20">
        <f>I63*'1-Data Input'!$D$9</f>
        <v>0</v>
      </c>
      <c r="W63" s="20">
        <f>J63*'1-Data Input'!$D$10</f>
        <v>0</v>
      </c>
      <c r="X63" s="20">
        <f>K63*'1-Data Input'!$D$11</f>
        <v>0</v>
      </c>
      <c r="Y63" s="20">
        <f>L63*'1-Data Input'!$D$12</f>
        <v>0</v>
      </c>
      <c r="Z63" s="21">
        <f>M63*'1-Data Input'!$D$13</f>
        <v>0</v>
      </c>
    </row>
    <row r="64" spans="1:26" x14ac:dyDescent="0.25">
      <c r="A64" s="32">
        <v>0.25</v>
      </c>
      <c r="B64" s="42">
        <v>5.0856926503890933E-2</v>
      </c>
      <c r="C64" s="42">
        <v>4.9828132052371521E-2</v>
      </c>
      <c r="D64" s="42">
        <v>4.7512176148518499E-2</v>
      </c>
      <c r="E64" s="42">
        <v>4.7290915215759878E-2</v>
      </c>
      <c r="F64" s="42">
        <v>5.3154763539765323E-2</v>
      </c>
      <c r="G64" s="42">
        <v>5.298294731483838E-2</v>
      </c>
      <c r="H64" s="42">
        <v>4.9494212311550032E-2</v>
      </c>
      <c r="I64" s="42">
        <v>5.105629495522826E-2</v>
      </c>
      <c r="J64" s="42">
        <v>4.8820977813231366E-2</v>
      </c>
      <c r="K64" s="42">
        <v>5.0607726252225746E-2</v>
      </c>
      <c r="L64" s="42">
        <v>5.0933517289827743E-2</v>
      </c>
      <c r="M64" s="42">
        <v>5.2680363864535736E-2</v>
      </c>
      <c r="N64" s="32">
        <v>0.25</v>
      </c>
      <c r="O64" s="20">
        <f>B64*'1-Data Input'!$D$2</f>
        <v>0</v>
      </c>
      <c r="P64" s="20">
        <f>C64*'1-Data Input'!$D$3</f>
        <v>0</v>
      </c>
      <c r="Q64" s="20">
        <f>D64*'1-Data Input'!$D$4</f>
        <v>0</v>
      </c>
      <c r="R64" s="20">
        <f>E64*'1-Data Input'!$D$5</f>
        <v>0</v>
      </c>
      <c r="S64" s="20">
        <f>F64*'1-Data Input'!$D$6</f>
        <v>0</v>
      </c>
      <c r="T64" s="20">
        <f>G64*'1-Data Input'!$D$7</f>
        <v>0</v>
      </c>
      <c r="U64" s="20">
        <f>H64*'1-Data Input'!$D$8</f>
        <v>0</v>
      </c>
      <c r="V64" s="20">
        <f>I64*'1-Data Input'!$D$9</f>
        <v>0</v>
      </c>
      <c r="W64" s="20">
        <f>J64*'1-Data Input'!$D$10</f>
        <v>0</v>
      </c>
      <c r="X64" s="20">
        <f>K64*'1-Data Input'!$D$11</f>
        <v>0</v>
      </c>
      <c r="Y64" s="20">
        <f>L64*'1-Data Input'!$D$12</f>
        <v>0</v>
      </c>
      <c r="Z64" s="21">
        <f>M64*'1-Data Input'!$D$13</f>
        <v>0</v>
      </c>
    </row>
    <row r="65" spans="1:26" x14ac:dyDescent="0.25">
      <c r="A65" s="32">
        <v>0.29166666666666702</v>
      </c>
      <c r="B65" s="42">
        <v>5.0114416802096697E-2</v>
      </c>
      <c r="C65" s="42">
        <v>4.9513428060461807E-2</v>
      </c>
      <c r="D65" s="42">
        <v>4.9723827491195284E-2</v>
      </c>
      <c r="E65" s="42">
        <v>5.0197725056741471E-2</v>
      </c>
      <c r="F65" s="42">
        <v>5.0334037227408264E-2</v>
      </c>
      <c r="G65" s="42">
        <v>4.9533214558411809E-2</v>
      </c>
      <c r="H65" s="42">
        <v>4.8718897966865148E-2</v>
      </c>
      <c r="I65" s="42">
        <v>4.8782320581019015E-2</v>
      </c>
      <c r="J65" s="42">
        <v>4.6915261858846889E-2</v>
      </c>
      <c r="K65" s="42">
        <v>4.9102732832701085E-2</v>
      </c>
      <c r="L65" s="42">
        <v>5.0433237808801205E-2</v>
      </c>
      <c r="M65" s="42">
        <v>5.0744759586179689E-2</v>
      </c>
      <c r="N65" s="32">
        <v>0.29166666666666702</v>
      </c>
      <c r="O65" s="20">
        <f>B65*'1-Data Input'!$D$2</f>
        <v>0</v>
      </c>
      <c r="P65" s="20">
        <f>C65*'1-Data Input'!$D$3</f>
        <v>0</v>
      </c>
      <c r="Q65" s="20">
        <f>D65*'1-Data Input'!$D$4</f>
        <v>0</v>
      </c>
      <c r="R65" s="20">
        <f>E65*'1-Data Input'!$D$5</f>
        <v>0</v>
      </c>
      <c r="S65" s="20">
        <f>F65*'1-Data Input'!$D$6</f>
        <v>0</v>
      </c>
      <c r="T65" s="20">
        <f>G65*'1-Data Input'!$D$7</f>
        <v>0</v>
      </c>
      <c r="U65" s="20">
        <f>H65*'1-Data Input'!$D$8</f>
        <v>0</v>
      </c>
      <c r="V65" s="20">
        <f>I65*'1-Data Input'!$D$9</f>
        <v>0</v>
      </c>
      <c r="W65" s="20">
        <f>J65*'1-Data Input'!$D$10</f>
        <v>0</v>
      </c>
      <c r="X65" s="20">
        <f>K65*'1-Data Input'!$D$11</f>
        <v>0</v>
      </c>
      <c r="Y65" s="20">
        <f>L65*'1-Data Input'!$D$12</f>
        <v>0</v>
      </c>
      <c r="Z65" s="21">
        <f>M65*'1-Data Input'!$D$13</f>
        <v>0</v>
      </c>
    </row>
    <row r="66" spans="1:26" x14ac:dyDescent="0.25">
      <c r="A66" s="32">
        <v>0.33333333333333298</v>
      </c>
      <c r="B66" s="42">
        <v>5.2417479523976691E-2</v>
      </c>
      <c r="C66" s="42">
        <v>5.1015173425364303E-2</v>
      </c>
      <c r="D66" s="42">
        <v>4.9097334898618457E-2</v>
      </c>
      <c r="E66" s="42">
        <v>5.0829794877084271E-2</v>
      </c>
      <c r="F66" s="42">
        <v>4.9922509378443357E-2</v>
      </c>
      <c r="G66" s="42">
        <v>4.9926189870195974E-2</v>
      </c>
      <c r="H66" s="42">
        <v>4.7181522514156679E-2</v>
      </c>
      <c r="I66" s="42">
        <v>4.7489147834110401E-2</v>
      </c>
      <c r="J66" s="42">
        <v>4.7816145764555923E-2</v>
      </c>
      <c r="K66" s="42">
        <v>4.9214213826739947E-2</v>
      </c>
      <c r="L66" s="42">
        <v>5.0011061031563629E-2</v>
      </c>
      <c r="M66" s="42">
        <v>5.0801297855478753E-2</v>
      </c>
      <c r="N66" s="32">
        <v>0.33333333333333298</v>
      </c>
      <c r="O66" s="20">
        <f>B66*'1-Data Input'!$D$2</f>
        <v>0</v>
      </c>
      <c r="P66" s="20">
        <f>C66*'1-Data Input'!$D$3</f>
        <v>0</v>
      </c>
      <c r="Q66" s="20">
        <f>D66*'1-Data Input'!$D$4</f>
        <v>0</v>
      </c>
      <c r="R66" s="20">
        <f>E66*'1-Data Input'!$D$5</f>
        <v>0</v>
      </c>
      <c r="S66" s="20">
        <f>F66*'1-Data Input'!$D$6</f>
        <v>0</v>
      </c>
      <c r="T66" s="20">
        <f>G66*'1-Data Input'!$D$7</f>
        <v>0</v>
      </c>
      <c r="U66" s="20">
        <f>H66*'1-Data Input'!$D$8</f>
        <v>0</v>
      </c>
      <c r="V66" s="20">
        <f>I66*'1-Data Input'!$D$9</f>
        <v>0</v>
      </c>
      <c r="W66" s="20">
        <f>J66*'1-Data Input'!$D$10</f>
        <v>0</v>
      </c>
      <c r="X66" s="20">
        <f>K66*'1-Data Input'!$D$11</f>
        <v>0</v>
      </c>
      <c r="Y66" s="20">
        <f>L66*'1-Data Input'!$D$12</f>
        <v>0</v>
      </c>
      <c r="Z66" s="21">
        <f>M66*'1-Data Input'!$D$13</f>
        <v>0</v>
      </c>
    </row>
    <row r="67" spans="1:26" x14ac:dyDescent="0.25">
      <c r="A67" s="32">
        <v>0.375</v>
      </c>
      <c r="B67" s="42">
        <v>4.8947208652827069E-2</v>
      </c>
      <c r="C67" s="42">
        <v>5.2050383925067313E-2</v>
      </c>
      <c r="D67" s="42">
        <v>5.2572854605927179E-2</v>
      </c>
      <c r="E67" s="42">
        <v>5.1513182263226591E-2</v>
      </c>
      <c r="F67" s="42">
        <v>5.2940196880545652E-2</v>
      </c>
      <c r="G67" s="42">
        <v>4.939424790022906E-2</v>
      </c>
      <c r="H67" s="42">
        <v>4.9626744678162832E-2</v>
      </c>
      <c r="I67" s="42">
        <v>4.9024790471064388E-2</v>
      </c>
      <c r="J67" s="42">
        <v>4.841096013819713E-2</v>
      </c>
      <c r="K67" s="42">
        <v>4.8354881164357037E-2</v>
      </c>
      <c r="L67" s="42">
        <v>4.9806305294603406E-2</v>
      </c>
      <c r="M67" s="42">
        <v>5.2144081751331423E-2</v>
      </c>
      <c r="N67" s="32">
        <v>0.375</v>
      </c>
      <c r="O67" s="20">
        <f>B67*'1-Data Input'!$D$2</f>
        <v>0</v>
      </c>
      <c r="P67" s="20">
        <f>C67*'1-Data Input'!$D$3</f>
        <v>0</v>
      </c>
      <c r="Q67" s="20">
        <f>D67*'1-Data Input'!$D$4</f>
        <v>0</v>
      </c>
      <c r="R67" s="20">
        <f>E67*'1-Data Input'!$D$5</f>
        <v>0</v>
      </c>
      <c r="S67" s="20">
        <f>F67*'1-Data Input'!$D$6</f>
        <v>0</v>
      </c>
      <c r="T67" s="20">
        <f>G67*'1-Data Input'!$D$7</f>
        <v>0</v>
      </c>
      <c r="U67" s="20">
        <f>H67*'1-Data Input'!$D$8</f>
        <v>0</v>
      </c>
      <c r="V67" s="20">
        <f>I67*'1-Data Input'!$D$9</f>
        <v>0</v>
      </c>
      <c r="W67" s="20">
        <f>J67*'1-Data Input'!$D$10</f>
        <v>0</v>
      </c>
      <c r="X67" s="20">
        <f>K67*'1-Data Input'!$D$11</f>
        <v>0</v>
      </c>
      <c r="Y67" s="20">
        <f>L67*'1-Data Input'!$D$12</f>
        <v>0</v>
      </c>
      <c r="Z67" s="21">
        <f>M67*'1-Data Input'!$D$13</f>
        <v>0</v>
      </c>
    </row>
    <row r="68" spans="1:26" x14ac:dyDescent="0.25">
      <c r="A68" s="32">
        <v>0.41666666666666702</v>
      </c>
      <c r="B68" s="42">
        <v>5.2634104235440654E-2</v>
      </c>
      <c r="C68" s="42">
        <v>5.1677708145174236E-2</v>
      </c>
      <c r="D68" s="42">
        <v>5.2046203355520827E-2</v>
      </c>
      <c r="E68" s="42">
        <v>5.2075643108177937E-2</v>
      </c>
      <c r="F68" s="42">
        <v>5.2090182807483107E-2</v>
      </c>
      <c r="G68" s="42">
        <v>5.0180707559175364E-2</v>
      </c>
      <c r="H68" s="42">
        <v>5.066977440340556E-2</v>
      </c>
      <c r="I68" s="42">
        <v>5.1309250029708021E-2</v>
      </c>
      <c r="J68" s="42">
        <v>4.9197501086643086E-2</v>
      </c>
      <c r="K68" s="42">
        <v>5.0324378725710286E-2</v>
      </c>
      <c r="L68" s="42">
        <v>4.9794906521617992E-2</v>
      </c>
      <c r="M68" s="42">
        <v>5.2126621403459646E-2</v>
      </c>
      <c r="N68" s="32">
        <v>0.41666666666666702</v>
      </c>
      <c r="O68" s="20">
        <f>B68*'1-Data Input'!$D$2</f>
        <v>0</v>
      </c>
      <c r="P68" s="20">
        <f>C68*'1-Data Input'!$D$3</f>
        <v>0</v>
      </c>
      <c r="Q68" s="20">
        <f>D68*'1-Data Input'!$D$4</f>
        <v>0</v>
      </c>
      <c r="R68" s="20">
        <f>E68*'1-Data Input'!$D$5</f>
        <v>0</v>
      </c>
      <c r="S68" s="20">
        <f>F68*'1-Data Input'!$D$6</f>
        <v>0</v>
      </c>
      <c r="T68" s="20">
        <f>G68*'1-Data Input'!$D$7</f>
        <v>0</v>
      </c>
      <c r="U68" s="20">
        <f>H68*'1-Data Input'!$D$8</f>
        <v>0</v>
      </c>
      <c r="V68" s="20">
        <f>I68*'1-Data Input'!$D$9</f>
        <v>0</v>
      </c>
      <c r="W68" s="20">
        <f>J68*'1-Data Input'!$D$10</f>
        <v>0</v>
      </c>
      <c r="X68" s="20">
        <f>K68*'1-Data Input'!$D$11</f>
        <v>0</v>
      </c>
      <c r="Y68" s="20">
        <f>L68*'1-Data Input'!$D$12</f>
        <v>0</v>
      </c>
      <c r="Z68" s="21">
        <f>M68*'1-Data Input'!$D$13</f>
        <v>0</v>
      </c>
    </row>
    <row r="69" spans="1:26" x14ac:dyDescent="0.25">
      <c r="A69" s="32">
        <v>0.45833333333333298</v>
      </c>
      <c r="B69" s="42">
        <v>5.1077826703081149E-2</v>
      </c>
      <c r="C69" s="42">
        <v>4.9818930181263051E-2</v>
      </c>
      <c r="D69" s="42">
        <v>5.3024743145134778E-2</v>
      </c>
      <c r="E69" s="42">
        <v>5.1358213376406212E-2</v>
      </c>
      <c r="F69" s="42">
        <v>5.2112189644326151E-2</v>
      </c>
      <c r="G69" s="42">
        <v>5.0740646474930005E-2</v>
      </c>
      <c r="H69" s="42">
        <v>5.0795238377132346E-2</v>
      </c>
      <c r="I69" s="42">
        <v>5.1954088872423261E-2</v>
      </c>
      <c r="J69" s="42">
        <v>5.0033706147839668E-2</v>
      </c>
      <c r="K69" s="42">
        <v>5.0801269644654326E-2</v>
      </c>
      <c r="L69" s="42">
        <v>5.0137714064734898E-2</v>
      </c>
      <c r="M69" s="42">
        <v>5.2588904899493145E-2</v>
      </c>
      <c r="N69" s="32">
        <v>0.45833333333333298</v>
      </c>
      <c r="O69" s="20">
        <f>B69*'1-Data Input'!$D$2</f>
        <v>0</v>
      </c>
      <c r="P69" s="20">
        <f>C69*'1-Data Input'!$D$3</f>
        <v>0</v>
      </c>
      <c r="Q69" s="20">
        <f>D69*'1-Data Input'!$D$4</f>
        <v>0</v>
      </c>
      <c r="R69" s="20">
        <f>E69*'1-Data Input'!$D$5</f>
        <v>0</v>
      </c>
      <c r="S69" s="20">
        <f>F69*'1-Data Input'!$D$6</f>
        <v>0</v>
      </c>
      <c r="T69" s="20">
        <f>G69*'1-Data Input'!$D$7</f>
        <v>0</v>
      </c>
      <c r="U69" s="20">
        <f>H69*'1-Data Input'!$D$8</f>
        <v>0</v>
      </c>
      <c r="V69" s="20">
        <f>I69*'1-Data Input'!$D$9</f>
        <v>0</v>
      </c>
      <c r="W69" s="20">
        <f>J69*'1-Data Input'!$D$10</f>
        <v>0</v>
      </c>
      <c r="X69" s="20">
        <f>K69*'1-Data Input'!$D$11</f>
        <v>0</v>
      </c>
      <c r="Y69" s="20">
        <f>L69*'1-Data Input'!$D$12</f>
        <v>0</v>
      </c>
      <c r="Z69" s="21">
        <f>M69*'1-Data Input'!$D$13</f>
        <v>0</v>
      </c>
    </row>
    <row r="70" spans="1:26" x14ac:dyDescent="0.25">
      <c r="A70" s="32">
        <v>0.5</v>
      </c>
      <c r="B70" s="42">
        <v>5.1605136855986847E-2</v>
      </c>
      <c r="C70" s="42">
        <v>5.0352638705554377E-2</v>
      </c>
      <c r="D70" s="42">
        <v>5.2083111529403758E-2</v>
      </c>
      <c r="E70" s="42">
        <v>5.0651961728273992E-2</v>
      </c>
      <c r="F70" s="42">
        <v>5.1628039233779205E-2</v>
      </c>
      <c r="G70" s="42">
        <v>5.0577755153983203E-2</v>
      </c>
      <c r="H70" s="42">
        <v>5.1866541673919138E-2</v>
      </c>
      <c r="I70" s="42">
        <v>5.1233232442558667E-2</v>
      </c>
      <c r="J70" s="42">
        <v>5.0564996656334731E-2</v>
      </c>
      <c r="K70" s="42">
        <v>4.9760006193388544E-2</v>
      </c>
      <c r="L70" s="42">
        <v>5.1034839716364758E-2</v>
      </c>
      <c r="M70" s="42">
        <v>5.1121404233127832E-2</v>
      </c>
      <c r="N70" s="32">
        <v>0.5</v>
      </c>
      <c r="O70" s="20">
        <f>B70*'1-Data Input'!$D$2</f>
        <v>0</v>
      </c>
      <c r="P70" s="20">
        <f>C70*'1-Data Input'!$D$3</f>
        <v>0</v>
      </c>
      <c r="Q70" s="20">
        <f>D70*'1-Data Input'!$D$4</f>
        <v>0</v>
      </c>
      <c r="R70" s="20">
        <f>E70*'1-Data Input'!$D$5</f>
        <v>0</v>
      </c>
      <c r="S70" s="20">
        <f>F70*'1-Data Input'!$D$6</f>
        <v>0</v>
      </c>
      <c r="T70" s="20">
        <f>G70*'1-Data Input'!$D$7</f>
        <v>0</v>
      </c>
      <c r="U70" s="20">
        <f>H70*'1-Data Input'!$D$8</f>
        <v>0</v>
      </c>
      <c r="V70" s="20">
        <f>I70*'1-Data Input'!$D$9</f>
        <v>0</v>
      </c>
      <c r="W70" s="20">
        <f>J70*'1-Data Input'!$D$10</f>
        <v>0</v>
      </c>
      <c r="X70" s="20">
        <f>K70*'1-Data Input'!$D$11</f>
        <v>0</v>
      </c>
      <c r="Y70" s="20">
        <f>L70*'1-Data Input'!$D$12</f>
        <v>0</v>
      </c>
      <c r="Z70" s="21">
        <f>M70*'1-Data Input'!$D$13</f>
        <v>0</v>
      </c>
    </row>
    <row r="71" spans="1:26" x14ac:dyDescent="0.25">
      <c r="A71" s="32">
        <v>0.54166666666666696</v>
      </c>
      <c r="B71" s="42">
        <v>4.9173809502318977E-2</v>
      </c>
      <c r="C71" s="42">
        <v>4.8657654047373988E-2</v>
      </c>
      <c r="D71" s="42">
        <v>4.9712471130000532E-2</v>
      </c>
      <c r="E71" s="42">
        <v>4.9722148407351723E-2</v>
      </c>
      <c r="F71" s="42">
        <v>5.2565530483292836E-2</v>
      </c>
      <c r="G71" s="42">
        <v>5.0156273861033343E-2</v>
      </c>
      <c r="H71" s="42">
        <v>5.1464968603082362E-2</v>
      </c>
      <c r="I71" s="42">
        <v>5.1251581515318854E-2</v>
      </c>
      <c r="J71" s="42">
        <v>4.9955167550931705E-2</v>
      </c>
      <c r="K71" s="42">
        <v>4.8457072075559326E-2</v>
      </c>
      <c r="L71" s="42">
        <v>4.939974905812361E-2</v>
      </c>
      <c r="M71" s="42">
        <v>5.0460405349410896E-2</v>
      </c>
      <c r="N71" s="32">
        <v>0.54166666666666696</v>
      </c>
      <c r="O71" s="20">
        <f>B71*'1-Data Input'!$D$2</f>
        <v>0</v>
      </c>
      <c r="P71" s="20">
        <f>C71*'1-Data Input'!$D$3</f>
        <v>0</v>
      </c>
      <c r="Q71" s="20">
        <f>D71*'1-Data Input'!$D$4</f>
        <v>0</v>
      </c>
      <c r="R71" s="20">
        <f>E71*'1-Data Input'!$D$5</f>
        <v>0</v>
      </c>
      <c r="S71" s="20">
        <f>F71*'1-Data Input'!$D$6</f>
        <v>0</v>
      </c>
      <c r="T71" s="20">
        <f>G71*'1-Data Input'!$D$7</f>
        <v>0</v>
      </c>
      <c r="U71" s="20">
        <f>H71*'1-Data Input'!$D$8</f>
        <v>0</v>
      </c>
      <c r="V71" s="20">
        <f>I71*'1-Data Input'!$D$9</f>
        <v>0</v>
      </c>
      <c r="W71" s="20">
        <f>J71*'1-Data Input'!$D$10</f>
        <v>0</v>
      </c>
      <c r="X71" s="20">
        <f>K71*'1-Data Input'!$D$11</f>
        <v>0</v>
      </c>
      <c r="Y71" s="20">
        <f>L71*'1-Data Input'!$D$12</f>
        <v>0</v>
      </c>
      <c r="Z71" s="21">
        <f>M71*'1-Data Input'!$D$13</f>
        <v>0</v>
      </c>
    </row>
    <row r="72" spans="1:26" x14ac:dyDescent="0.25">
      <c r="A72" s="32">
        <v>0.58333333333333304</v>
      </c>
      <c r="B72" s="42">
        <v>4.7989974456336099E-2</v>
      </c>
      <c r="C72" s="42">
        <v>4.760127924412149E-2</v>
      </c>
      <c r="D72" s="42">
        <v>4.926768031653965E-2</v>
      </c>
      <c r="E72" s="42">
        <v>4.8878711187280148E-2</v>
      </c>
      <c r="F72" s="42">
        <v>5.043967004425487E-2</v>
      </c>
      <c r="G72" s="42">
        <v>4.8236192415372865E-2</v>
      </c>
      <c r="H72" s="42">
        <v>4.9593611586509628E-2</v>
      </c>
      <c r="I72" s="42">
        <v>4.8922123040144275E-2</v>
      </c>
      <c r="J72" s="42">
        <v>4.7554350441529357E-2</v>
      </c>
      <c r="K72" s="42">
        <v>4.6953627003174105E-2</v>
      </c>
      <c r="L72" s="42">
        <v>4.8921844946290677E-2</v>
      </c>
      <c r="M72" s="42">
        <v>4.7117995899672353E-2</v>
      </c>
      <c r="N72" s="32">
        <v>0.58333333333333304</v>
      </c>
      <c r="O72" s="20">
        <f>B72*'1-Data Input'!$D$2</f>
        <v>0</v>
      </c>
      <c r="P72" s="20">
        <f>C72*'1-Data Input'!$D$3</f>
        <v>0</v>
      </c>
      <c r="Q72" s="20">
        <f>D72*'1-Data Input'!$D$4</f>
        <v>0</v>
      </c>
      <c r="R72" s="20">
        <f>E72*'1-Data Input'!$D$5</f>
        <v>0</v>
      </c>
      <c r="S72" s="20">
        <f>F72*'1-Data Input'!$D$6</f>
        <v>0</v>
      </c>
      <c r="T72" s="20">
        <f>G72*'1-Data Input'!$D$7</f>
        <v>0</v>
      </c>
      <c r="U72" s="20">
        <f>H72*'1-Data Input'!$D$8</f>
        <v>0</v>
      </c>
      <c r="V72" s="20">
        <f>I72*'1-Data Input'!$D$9</f>
        <v>0</v>
      </c>
      <c r="W72" s="20">
        <f>J72*'1-Data Input'!$D$10</f>
        <v>0</v>
      </c>
      <c r="X72" s="20">
        <f>K72*'1-Data Input'!$D$11</f>
        <v>0</v>
      </c>
      <c r="Y72" s="20">
        <f>L72*'1-Data Input'!$D$12</f>
        <v>0</v>
      </c>
      <c r="Z72" s="21">
        <f>M72*'1-Data Input'!$D$13</f>
        <v>0</v>
      </c>
    </row>
    <row r="73" spans="1:26" x14ac:dyDescent="0.25">
      <c r="A73" s="32">
        <v>0.625</v>
      </c>
      <c r="B73" s="42">
        <v>4.667407434503091E-2</v>
      </c>
      <c r="C73" s="42">
        <v>4.6018557413464445E-2</v>
      </c>
      <c r="D73" s="42">
        <v>4.6106826450668686E-2</v>
      </c>
      <c r="E73" s="42">
        <v>4.6140080695601979E-2</v>
      </c>
      <c r="F73" s="42">
        <v>4.8475559856013269E-2</v>
      </c>
      <c r="G73" s="42">
        <v>4.7164672944769663E-2</v>
      </c>
      <c r="H73" s="42">
        <v>4.6962844109245554E-2</v>
      </c>
      <c r="I73" s="42">
        <v>4.6272429557035907E-2</v>
      </c>
      <c r="J73" s="42">
        <v>4.6845963096869274E-2</v>
      </c>
      <c r="K73" s="42">
        <v>4.6131067585352632E-2</v>
      </c>
      <c r="L73" s="42">
        <v>4.6082706119367954E-2</v>
      </c>
      <c r="M73" s="42">
        <v>4.6363459438070929E-2</v>
      </c>
      <c r="N73" s="32">
        <v>0.625</v>
      </c>
      <c r="O73" s="20">
        <f>B73*'1-Data Input'!$D$2</f>
        <v>0</v>
      </c>
      <c r="P73" s="20">
        <f>C73*'1-Data Input'!$D$3</f>
        <v>0</v>
      </c>
      <c r="Q73" s="20">
        <f>D73*'1-Data Input'!$D$4</f>
        <v>0</v>
      </c>
      <c r="R73" s="20">
        <f>E73*'1-Data Input'!$D$5</f>
        <v>0</v>
      </c>
      <c r="S73" s="20">
        <f>F73*'1-Data Input'!$D$6</f>
        <v>0</v>
      </c>
      <c r="T73" s="20">
        <f>G73*'1-Data Input'!$D$7</f>
        <v>0</v>
      </c>
      <c r="U73" s="20">
        <f>H73*'1-Data Input'!$D$8</f>
        <v>0</v>
      </c>
      <c r="V73" s="20">
        <f>I73*'1-Data Input'!$D$9</f>
        <v>0</v>
      </c>
      <c r="W73" s="20">
        <f>J73*'1-Data Input'!$D$10</f>
        <v>0</v>
      </c>
      <c r="X73" s="20">
        <f>K73*'1-Data Input'!$D$11</f>
        <v>0</v>
      </c>
      <c r="Y73" s="20">
        <f>L73*'1-Data Input'!$D$12</f>
        <v>0</v>
      </c>
      <c r="Z73" s="21">
        <f>M73*'1-Data Input'!$D$13</f>
        <v>0</v>
      </c>
    </row>
    <row r="74" spans="1:26" x14ac:dyDescent="0.25">
      <c r="A74" s="32">
        <v>0.66666666666666696</v>
      </c>
      <c r="B74" s="42">
        <v>4.2629462955986699E-2</v>
      </c>
      <c r="C74" s="42">
        <v>4.2954334334343543E-2</v>
      </c>
      <c r="D74" s="42">
        <v>4.3148494359437357E-2</v>
      </c>
      <c r="E74" s="42">
        <v>4.1960493603849729E-2</v>
      </c>
      <c r="F74" s="42">
        <v>4.4147915390828837E-2</v>
      </c>
      <c r="G74" s="42">
        <v>4.4359378976838892E-2</v>
      </c>
      <c r="H74" s="42">
        <v>4.4610394601868358E-2</v>
      </c>
      <c r="I74" s="42">
        <v>4.4430969040745429E-2</v>
      </c>
      <c r="J74" s="42">
        <v>4.5584725628876638E-2</v>
      </c>
      <c r="K74" s="42">
        <v>4.3319656266935035E-2</v>
      </c>
      <c r="L74" s="42">
        <v>4.305696515690622E-2</v>
      </c>
      <c r="M74" s="42">
        <v>4.3361526771831881E-2</v>
      </c>
      <c r="N74" s="32">
        <v>0.66666666666666696</v>
      </c>
      <c r="O74" s="20">
        <f>B74*'1-Data Input'!$D$2</f>
        <v>0</v>
      </c>
      <c r="P74" s="20">
        <f>C74*'1-Data Input'!$D$3</f>
        <v>0</v>
      </c>
      <c r="Q74" s="20">
        <f>D74*'1-Data Input'!$D$4</f>
        <v>0</v>
      </c>
      <c r="R74" s="20">
        <f>E74*'1-Data Input'!$D$5</f>
        <v>0</v>
      </c>
      <c r="S74" s="20">
        <f>F74*'1-Data Input'!$D$6</f>
        <v>0</v>
      </c>
      <c r="T74" s="20">
        <f>G74*'1-Data Input'!$D$7</f>
        <v>0</v>
      </c>
      <c r="U74" s="20">
        <f>H74*'1-Data Input'!$D$8</f>
        <v>0</v>
      </c>
      <c r="V74" s="20">
        <f>I74*'1-Data Input'!$D$9</f>
        <v>0</v>
      </c>
      <c r="W74" s="20">
        <f>J74*'1-Data Input'!$D$10</f>
        <v>0</v>
      </c>
      <c r="X74" s="20">
        <f>K74*'1-Data Input'!$D$11</f>
        <v>0</v>
      </c>
      <c r="Y74" s="20">
        <f>L74*'1-Data Input'!$D$12</f>
        <v>0</v>
      </c>
      <c r="Z74" s="21">
        <f>M74*'1-Data Input'!$D$13</f>
        <v>0</v>
      </c>
    </row>
    <row r="75" spans="1:26" x14ac:dyDescent="0.25">
      <c r="A75" s="32">
        <v>0.70833333333333304</v>
      </c>
      <c r="B75" s="42">
        <v>3.9752534770403927E-2</v>
      </c>
      <c r="C75" s="42">
        <v>3.8583445557819722E-2</v>
      </c>
      <c r="D75" s="42">
        <v>3.6463383069463555E-2</v>
      </c>
      <c r="E75" s="42">
        <v>3.7924189220567471E-2</v>
      </c>
      <c r="F75" s="42">
        <v>3.9029125141137003E-2</v>
      </c>
      <c r="G75" s="42">
        <v>3.9725120895902265E-2</v>
      </c>
      <c r="H75" s="42">
        <v>4.0581410656839255E-2</v>
      </c>
      <c r="I75" s="42">
        <v>4.0499024877847602E-2</v>
      </c>
      <c r="J75" s="42">
        <v>4.1764053885177337E-2</v>
      </c>
      <c r="K75" s="42">
        <v>4.0667337617093742E-2</v>
      </c>
      <c r="L75" s="42">
        <v>3.8857150576946789E-2</v>
      </c>
      <c r="M75" s="42">
        <v>3.8296362998745517E-2</v>
      </c>
      <c r="N75" s="32">
        <v>0.70833333333333304</v>
      </c>
      <c r="O75" s="20">
        <f>B75*'1-Data Input'!$D$2</f>
        <v>0</v>
      </c>
      <c r="P75" s="20">
        <f>C75*'1-Data Input'!$D$3</f>
        <v>0</v>
      </c>
      <c r="Q75" s="20">
        <f>D75*'1-Data Input'!$D$4</f>
        <v>0</v>
      </c>
      <c r="R75" s="20">
        <f>E75*'1-Data Input'!$D$5</f>
        <v>0</v>
      </c>
      <c r="S75" s="20">
        <f>F75*'1-Data Input'!$D$6</f>
        <v>0</v>
      </c>
      <c r="T75" s="20">
        <f>G75*'1-Data Input'!$D$7</f>
        <v>0</v>
      </c>
      <c r="U75" s="20">
        <f>H75*'1-Data Input'!$D$8</f>
        <v>0</v>
      </c>
      <c r="V75" s="20">
        <f>I75*'1-Data Input'!$D$9</f>
        <v>0</v>
      </c>
      <c r="W75" s="20">
        <f>J75*'1-Data Input'!$D$10</f>
        <v>0</v>
      </c>
      <c r="X75" s="20">
        <f>K75*'1-Data Input'!$D$11</f>
        <v>0</v>
      </c>
      <c r="Y75" s="20">
        <f>L75*'1-Data Input'!$D$12</f>
        <v>0</v>
      </c>
      <c r="Z75" s="21">
        <f>M75*'1-Data Input'!$D$13</f>
        <v>0</v>
      </c>
    </row>
    <row r="76" spans="1:26" x14ac:dyDescent="0.25">
      <c r="A76" s="32">
        <v>0.75</v>
      </c>
      <c r="B76" s="42">
        <v>3.7417643417672869E-2</v>
      </c>
      <c r="C76" s="42">
        <v>3.7488422895911644E-2</v>
      </c>
      <c r="D76" s="42">
        <v>3.8043810002399037E-2</v>
      </c>
      <c r="E76" s="42">
        <v>3.7687925180005251E-2</v>
      </c>
      <c r="F76" s="42">
        <v>3.5700591068626733E-2</v>
      </c>
      <c r="G76" s="42">
        <v>3.7398829218630698E-2</v>
      </c>
      <c r="H76" s="42">
        <v>3.8268720859445896E-2</v>
      </c>
      <c r="I76" s="42">
        <v>3.8264369945267336E-2</v>
      </c>
      <c r="J76" s="42">
        <v>3.8801531810634206E-2</v>
      </c>
      <c r="K76" s="42">
        <v>3.831578539908647E-2</v>
      </c>
      <c r="L76" s="42">
        <v>3.8964805655142369E-2</v>
      </c>
      <c r="M76" s="42">
        <v>3.7321493575905113E-2</v>
      </c>
      <c r="N76" s="32">
        <v>0.75</v>
      </c>
      <c r="O76" s="20">
        <f>B76*'1-Data Input'!$D$2</f>
        <v>0</v>
      </c>
      <c r="P76" s="20">
        <f>C76*'1-Data Input'!$D$3</f>
        <v>0</v>
      </c>
      <c r="Q76" s="20">
        <f>D76*'1-Data Input'!$D$4</f>
        <v>0</v>
      </c>
      <c r="R76" s="20">
        <f>E76*'1-Data Input'!$D$5</f>
        <v>0</v>
      </c>
      <c r="S76" s="20">
        <f>F76*'1-Data Input'!$D$6</f>
        <v>0</v>
      </c>
      <c r="T76" s="20">
        <f>G76*'1-Data Input'!$D$7</f>
        <v>0</v>
      </c>
      <c r="U76" s="20">
        <f>H76*'1-Data Input'!$D$8</f>
        <v>0</v>
      </c>
      <c r="V76" s="20">
        <f>I76*'1-Data Input'!$D$9</f>
        <v>0</v>
      </c>
      <c r="W76" s="20">
        <f>J76*'1-Data Input'!$D$10</f>
        <v>0</v>
      </c>
      <c r="X76" s="20">
        <f>K76*'1-Data Input'!$D$11</f>
        <v>0</v>
      </c>
      <c r="Y76" s="20">
        <f>L76*'1-Data Input'!$D$12</f>
        <v>0</v>
      </c>
      <c r="Z76" s="21">
        <f>M76*'1-Data Input'!$D$13</f>
        <v>0</v>
      </c>
    </row>
    <row r="77" spans="1:26" x14ac:dyDescent="0.25">
      <c r="A77" s="32">
        <v>0.79166666666666696</v>
      </c>
      <c r="B77" s="42">
        <v>3.7470374432963437E-2</v>
      </c>
      <c r="C77" s="42">
        <v>3.6980479610724037E-2</v>
      </c>
      <c r="D77" s="42">
        <v>3.6272217656018665E-2</v>
      </c>
      <c r="E77" s="42">
        <v>3.6204796718927588E-2</v>
      </c>
      <c r="F77" s="42">
        <v>3.4508920853575938E-2</v>
      </c>
      <c r="G77" s="42">
        <v>3.5648765589208452E-2</v>
      </c>
      <c r="H77" s="42">
        <v>3.7140870419570975E-2</v>
      </c>
      <c r="I77" s="42">
        <v>3.7631326935040788E-2</v>
      </c>
      <c r="J77" s="42">
        <v>3.7717006185684493E-2</v>
      </c>
      <c r="K77" s="42">
        <v>3.8080049547108454E-2</v>
      </c>
      <c r="L77" s="42">
        <v>3.6359552762809264E-2</v>
      </c>
      <c r="M77" s="42">
        <v>3.6023191994868614E-2</v>
      </c>
      <c r="N77" s="32">
        <v>0.79166666666666696</v>
      </c>
      <c r="O77" s="20">
        <f>B77*'1-Data Input'!$D$2</f>
        <v>0</v>
      </c>
      <c r="P77" s="20">
        <f>C77*'1-Data Input'!$D$3</f>
        <v>0</v>
      </c>
      <c r="Q77" s="20">
        <f>D77*'1-Data Input'!$D$4</f>
        <v>0</v>
      </c>
      <c r="R77" s="20">
        <f>E77*'1-Data Input'!$D$5</f>
        <v>0</v>
      </c>
      <c r="S77" s="20">
        <f>F77*'1-Data Input'!$D$6</f>
        <v>0</v>
      </c>
      <c r="T77" s="20">
        <f>G77*'1-Data Input'!$D$7</f>
        <v>0</v>
      </c>
      <c r="U77" s="20">
        <f>H77*'1-Data Input'!$D$8</f>
        <v>0</v>
      </c>
      <c r="V77" s="20">
        <f>I77*'1-Data Input'!$D$9</f>
        <v>0</v>
      </c>
      <c r="W77" s="20">
        <f>J77*'1-Data Input'!$D$10</f>
        <v>0</v>
      </c>
      <c r="X77" s="20">
        <f>K77*'1-Data Input'!$D$11</f>
        <v>0</v>
      </c>
      <c r="Y77" s="20">
        <f>L77*'1-Data Input'!$D$12</f>
        <v>0</v>
      </c>
      <c r="Z77" s="21">
        <f>M77*'1-Data Input'!$D$13</f>
        <v>0</v>
      </c>
    </row>
    <row r="78" spans="1:26" x14ac:dyDescent="0.25">
      <c r="A78" s="32">
        <v>0.83333333333333304</v>
      </c>
      <c r="B78" s="42">
        <v>3.3975875798031657E-2</v>
      </c>
      <c r="C78" s="42">
        <v>3.5896499194146128E-2</v>
      </c>
      <c r="D78" s="42">
        <v>3.5062765188778218E-2</v>
      </c>
      <c r="E78" s="42">
        <v>3.6196667203553412E-2</v>
      </c>
      <c r="F78" s="42">
        <v>3.3175306540887531E-2</v>
      </c>
      <c r="G78" s="42">
        <v>3.5713922117587171E-2</v>
      </c>
      <c r="H78" s="42">
        <v>3.57837389854559E-2</v>
      </c>
      <c r="I78" s="42">
        <v>3.521274439217386E-2</v>
      </c>
      <c r="J78" s="42">
        <v>3.6366450313365148E-2</v>
      </c>
      <c r="K78" s="42">
        <v>3.7044205310830684E-2</v>
      </c>
      <c r="L78" s="42">
        <v>3.6577395979863855E-2</v>
      </c>
      <c r="M78" s="42">
        <v>3.5718883074817791E-2</v>
      </c>
      <c r="N78" s="32">
        <v>0.83333333333333304</v>
      </c>
      <c r="O78" s="20">
        <f>B78*'1-Data Input'!$D$2</f>
        <v>0</v>
      </c>
      <c r="P78" s="20">
        <f>C78*'1-Data Input'!$D$3</f>
        <v>0</v>
      </c>
      <c r="Q78" s="20">
        <f>D78*'1-Data Input'!$D$4</f>
        <v>0</v>
      </c>
      <c r="R78" s="20">
        <f>E78*'1-Data Input'!$D$5</f>
        <v>0</v>
      </c>
      <c r="S78" s="20">
        <f>F78*'1-Data Input'!$D$6</f>
        <v>0</v>
      </c>
      <c r="T78" s="20">
        <f>G78*'1-Data Input'!$D$7</f>
        <v>0</v>
      </c>
      <c r="U78" s="20">
        <f>H78*'1-Data Input'!$D$8</f>
        <v>0</v>
      </c>
      <c r="V78" s="20">
        <f>I78*'1-Data Input'!$D$9</f>
        <v>0</v>
      </c>
      <c r="W78" s="20">
        <f>J78*'1-Data Input'!$D$10</f>
        <v>0</v>
      </c>
      <c r="X78" s="20">
        <f>K78*'1-Data Input'!$D$11</f>
        <v>0</v>
      </c>
      <c r="Y78" s="20">
        <f>L78*'1-Data Input'!$D$12</f>
        <v>0</v>
      </c>
      <c r="Z78" s="21">
        <f>M78*'1-Data Input'!$D$13</f>
        <v>0</v>
      </c>
    </row>
    <row r="79" spans="1:26" x14ac:dyDescent="0.25">
      <c r="A79" s="32">
        <v>0.875</v>
      </c>
      <c r="B79" s="42">
        <v>3.6013858280883389E-2</v>
      </c>
      <c r="C79" s="42">
        <v>3.4603636303405932E-2</v>
      </c>
      <c r="D79" s="42">
        <v>3.3217356494631999E-2</v>
      </c>
      <c r="E79" s="42">
        <v>3.569111296622135E-2</v>
      </c>
      <c r="F79" s="42">
        <v>3.3422883455371769E-2</v>
      </c>
      <c r="G79" s="42">
        <v>3.3588699414609312E-2</v>
      </c>
      <c r="H79" s="42">
        <v>3.5008424640771023E-2</v>
      </c>
      <c r="I79" s="42">
        <v>3.5164687296849552E-2</v>
      </c>
      <c r="J79" s="42">
        <v>3.6855391578429451E-2</v>
      </c>
      <c r="K79" s="42">
        <v>3.5627467678253456E-2</v>
      </c>
      <c r="L79" s="42">
        <v>3.5196877918296975E-2</v>
      </c>
      <c r="M79" s="42">
        <v>3.3698471392513155E-2</v>
      </c>
      <c r="N79" s="32">
        <v>0.875</v>
      </c>
      <c r="O79" s="20">
        <f>B79*'1-Data Input'!$D$2</f>
        <v>0</v>
      </c>
      <c r="P79" s="20">
        <f>C79*'1-Data Input'!$D$3</f>
        <v>0</v>
      </c>
      <c r="Q79" s="20">
        <f>D79*'1-Data Input'!$D$4</f>
        <v>0</v>
      </c>
      <c r="R79" s="20">
        <f>E79*'1-Data Input'!$D$5</f>
        <v>0</v>
      </c>
      <c r="S79" s="20">
        <f>F79*'1-Data Input'!$D$6</f>
        <v>0</v>
      </c>
      <c r="T79" s="20">
        <f>G79*'1-Data Input'!$D$7</f>
        <v>0</v>
      </c>
      <c r="U79" s="20">
        <f>H79*'1-Data Input'!$D$8</f>
        <v>0</v>
      </c>
      <c r="V79" s="20">
        <f>I79*'1-Data Input'!$D$9</f>
        <v>0</v>
      </c>
      <c r="W79" s="20">
        <f>J79*'1-Data Input'!$D$10</f>
        <v>0</v>
      </c>
      <c r="X79" s="20">
        <f>K79*'1-Data Input'!$D$11</f>
        <v>0</v>
      </c>
      <c r="Y79" s="20">
        <f>L79*'1-Data Input'!$D$12</f>
        <v>0</v>
      </c>
      <c r="Z79" s="21">
        <f>M79*'1-Data Input'!$D$13</f>
        <v>0</v>
      </c>
    </row>
    <row r="80" spans="1:26" x14ac:dyDescent="0.25">
      <c r="A80" s="32">
        <v>0.91666666666666696</v>
      </c>
      <c r="B80" s="42">
        <v>3.2242878106319976E-2</v>
      </c>
      <c r="C80" s="42">
        <v>3.2872764347902497E-2</v>
      </c>
      <c r="D80" s="42">
        <v>3.3421770996137426E-2</v>
      </c>
      <c r="E80" s="42">
        <v>3.2022161058910023E-2</v>
      </c>
      <c r="F80" s="42">
        <v>3.1168283020801994E-2</v>
      </c>
      <c r="G80" s="42">
        <v>3.304046831254772E-2</v>
      </c>
      <c r="H80" s="42">
        <v>3.3551893931696358E-2</v>
      </c>
      <c r="I80" s="42">
        <v>3.3909086460830844E-2</v>
      </c>
      <c r="J80" s="42">
        <v>3.4473824125132002E-2</v>
      </c>
      <c r="K80" s="42">
        <v>3.5056127583804282E-2</v>
      </c>
      <c r="L80" s="42">
        <v>3.4545881327796631E-2</v>
      </c>
      <c r="M80" s="42">
        <v>3.3334298422616267E-2</v>
      </c>
      <c r="N80" s="32">
        <v>0.91666666666666696</v>
      </c>
      <c r="O80" s="20">
        <f>B80*'1-Data Input'!$D$2</f>
        <v>0</v>
      </c>
      <c r="P80" s="20">
        <f>C80*'1-Data Input'!$D$3</f>
        <v>0</v>
      </c>
      <c r="Q80" s="20">
        <f>D80*'1-Data Input'!$D$4</f>
        <v>0</v>
      </c>
      <c r="R80" s="20">
        <f>E80*'1-Data Input'!$D$5</f>
        <v>0</v>
      </c>
      <c r="S80" s="20">
        <f>F80*'1-Data Input'!$D$6</f>
        <v>0</v>
      </c>
      <c r="T80" s="20">
        <f>G80*'1-Data Input'!$D$7</f>
        <v>0</v>
      </c>
      <c r="U80" s="20">
        <f>H80*'1-Data Input'!$D$8</f>
        <v>0</v>
      </c>
      <c r="V80" s="20">
        <f>I80*'1-Data Input'!$D$9</f>
        <v>0</v>
      </c>
      <c r="W80" s="20">
        <f>J80*'1-Data Input'!$D$10</f>
        <v>0</v>
      </c>
      <c r="X80" s="20">
        <f>K80*'1-Data Input'!$D$11</f>
        <v>0</v>
      </c>
      <c r="Y80" s="20">
        <f>L80*'1-Data Input'!$D$12</f>
        <v>0</v>
      </c>
      <c r="Z80" s="21">
        <f>M80*'1-Data Input'!$D$13</f>
        <v>0</v>
      </c>
    </row>
    <row r="81" spans="1:26" x14ac:dyDescent="0.25">
      <c r="A81" s="32">
        <v>0.95833333333333304</v>
      </c>
      <c r="B81" s="43">
        <v>3.2854747905367306E-2</v>
      </c>
      <c r="C81" s="43">
        <v>3.317274534603866E-2</v>
      </c>
      <c r="D81" s="43">
        <v>3.2876665658789613E-2</v>
      </c>
      <c r="E81" s="43">
        <v>3.2365633083469285E-2</v>
      </c>
      <c r="F81" s="43">
        <v>3.2229012556636676E-2</v>
      </c>
      <c r="G81" s="43">
        <v>3.3128022397556633E-2</v>
      </c>
      <c r="H81" s="43">
        <v>3.2912204375511914E-2</v>
      </c>
      <c r="I81" s="43">
        <v>3.3430263038326843E-2</v>
      </c>
      <c r="J81" s="43">
        <v>3.4988174936254765E-2</v>
      </c>
      <c r="K81" s="43">
        <v>3.3436556475961901E-2</v>
      </c>
      <c r="L81" s="43">
        <v>3.3394183079492511E-2</v>
      </c>
      <c r="M81" s="43">
        <v>3.1927493251233778E-2</v>
      </c>
      <c r="N81" s="32">
        <v>0.95833333333333304</v>
      </c>
      <c r="O81" s="26">
        <f>B81*'1-Data Input'!$D$2</f>
        <v>0</v>
      </c>
      <c r="P81" s="26">
        <f>C81*'1-Data Input'!$D$3</f>
        <v>0</v>
      </c>
      <c r="Q81" s="26">
        <f>D81*'1-Data Input'!$D$4</f>
        <v>0</v>
      </c>
      <c r="R81" s="26">
        <f>E81*'1-Data Input'!$D$5</f>
        <v>0</v>
      </c>
      <c r="S81" s="26">
        <f>F81*'1-Data Input'!$D$6</f>
        <v>0</v>
      </c>
      <c r="T81" s="26">
        <f>G81*'1-Data Input'!$D$7</f>
        <v>0</v>
      </c>
      <c r="U81" s="26">
        <f>H81*'1-Data Input'!$D$8</f>
        <v>0</v>
      </c>
      <c r="V81" s="26">
        <f>I81*'1-Data Input'!$D$9</f>
        <v>0</v>
      </c>
      <c r="W81" s="26">
        <f>J81*'1-Data Input'!$D$10</f>
        <v>0</v>
      </c>
      <c r="X81" s="26">
        <f>K81*'1-Data Input'!$D$11</f>
        <v>0</v>
      </c>
      <c r="Y81" s="26">
        <f>L81*'1-Data Input'!$D$12</f>
        <v>0</v>
      </c>
      <c r="Z81" s="27">
        <f>M81*'1-Data Input'!$D$13</f>
        <v>0</v>
      </c>
    </row>
    <row r="82" spans="1:26" ht="20.25" x14ac:dyDescent="0.25">
      <c r="A82" s="65" t="s">
        <v>33</v>
      </c>
      <c r="B82" s="65"/>
      <c r="C82" s="65"/>
      <c r="D82" s="65"/>
      <c r="E82" s="65"/>
      <c r="F82" s="65"/>
      <c r="G82" s="66" t="s">
        <v>50</v>
      </c>
      <c r="H82" s="66"/>
      <c r="I82" s="66"/>
      <c r="J82" s="66"/>
      <c r="K82" s="66"/>
      <c r="L82" s="66"/>
      <c r="M82" s="66"/>
      <c r="N82" s="66"/>
      <c r="O82" s="66"/>
      <c r="P82" s="66"/>
      <c r="Q82" s="66"/>
      <c r="R82" s="66"/>
      <c r="S82" s="66"/>
      <c r="T82" s="66"/>
      <c r="U82" s="66"/>
      <c r="V82" s="66"/>
      <c r="W82" s="66"/>
      <c r="X82" s="66"/>
      <c r="Y82" s="66"/>
      <c r="Z82" s="66"/>
    </row>
    <row r="83" spans="1:26" ht="33.75" x14ac:dyDescent="0.5">
      <c r="A83" s="67" t="s">
        <v>15</v>
      </c>
      <c r="B83" s="67"/>
      <c r="C83" s="67"/>
      <c r="D83" s="67"/>
      <c r="E83" s="67"/>
      <c r="F83" s="67"/>
      <c r="G83" s="67"/>
      <c r="H83" s="67"/>
      <c r="I83" s="67"/>
      <c r="J83" s="67"/>
      <c r="K83" s="67"/>
      <c r="L83" s="67"/>
      <c r="M83" s="68"/>
      <c r="N83" s="69" t="s">
        <v>27</v>
      </c>
      <c r="O83" s="69"/>
      <c r="P83" s="69"/>
      <c r="Q83" s="69"/>
      <c r="R83" s="69"/>
      <c r="S83" s="69"/>
      <c r="T83" s="69"/>
      <c r="U83" s="69"/>
      <c r="V83" s="69"/>
      <c r="W83" s="69"/>
      <c r="X83" s="69"/>
      <c r="Y83" s="69"/>
      <c r="Z83" s="69"/>
    </row>
    <row r="84" spans="1:26" ht="46.5" x14ac:dyDescent="0.25">
      <c r="A84" s="28" t="s">
        <v>30</v>
      </c>
      <c r="B84" s="29" t="s">
        <v>16</v>
      </c>
      <c r="C84" s="29" t="s">
        <v>17</v>
      </c>
      <c r="D84" s="29" t="s">
        <v>18</v>
      </c>
      <c r="E84" s="29" t="s">
        <v>19</v>
      </c>
      <c r="F84" s="29" t="s">
        <v>4</v>
      </c>
      <c r="G84" s="29" t="s">
        <v>20</v>
      </c>
      <c r="H84" s="29" t="s">
        <v>21</v>
      </c>
      <c r="I84" s="29" t="s">
        <v>22</v>
      </c>
      <c r="J84" s="29" t="s">
        <v>23</v>
      </c>
      <c r="K84" s="29" t="s">
        <v>24</v>
      </c>
      <c r="L84" s="29" t="s">
        <v>25</v>
      </c>
      <c r="M84" s="30" t="s">
        <v>26</v>
      </c>
      <c r="N84" s="40" t="s">
        <v>30</v>
      </c>
      <c r="O84" s="40" t="s">
        <v>16</v>
      </c>
      <c r="P84" s="40" t="s">
        <v>17</v>
      </c>
      <c r="Q84" s="40" t="s">
        <v>18</v>
      </c>
      <c r="R84" s="40" t="s">
        <v>19</v>
      </c>
      <c r="S84" s="40" t="s">
        <v>4</v>
      </c>
      <c r="T84" s="40" t="s">
        <v>20</v>
      </c>
      <c r="U84" s="40" t="s">
        <v>21</v>
      </c>
      <c r="V84" s="40" t="s">
        <v>22</v>
      </c>
      <c r="W84" s="40" t="s">
        <v>23</v>
      </c>
      <c r="X84" s="40" t="s">
        <v>24</v>
      </c>
      <c r="Y84" s="40" t="s">
        <v>25</v>
      </c>
      <c r="Z84" s="40" t="s">
        <v>26</v>
      </c>
    </row>
    <row r="85" spans="1:26" x14ac:dyDescent="0.25">
      <c r="A85" s="32">
        <v>0</v>
      </c>
      <c r="B85" s="42">
        <v>3.1716993115989703E-2</v>
      </c>
      <c r="C85" s="42">
        <v>3.2898989680561638E-2</v>
      </c>
      <c r="D85" s="42">
        <v>3.2635342983401261E-2</v>
      </c>
      <c r="E85" s="42">
        <v>3.4075371785602319E-2</v>
      </c>
      <c r="F85" s="42">
        <v>3.1788875819775818E-2</v>
      </c>
      <c r="G85" s="42">
        <v>3.2336472384830742E-2</v>
      </c>
      <c r="H85" s="42">
        <v>3.2914413248288789E-2</v>
      </c>
      <c r="I85" s="42">
        <v>3.2523731467436513E-2</v>
      </c>
      <c r="J85" s="42">
        <v>3.3621449352807316E-2</v>
      </c>
      <c r="K85" s="42">
        <v>3.3560424247116194E-2</v>
      </c>
      <c r="L85" s="42">
        <v>3.3132433477605215E-2</v>
      </c>
      <c r="M85" s="42">
        <v>3.2021030829118259E-2</v>
      </c>
      <c r="N85" s="32">
        <v>0</v>
      </c>
      <c r="O85" s="41">
        <f>B85*'1-Data Input'!$D$2</f>
        <v>0</v>
      </c>
      <c r="P85" s="41">
        <f>C85*'1-Data Input'!$D$3</f>
        <v>0</v>
      </c>
      <c r="Q85" s="41">
        <f>D85*'1-Data Input'!$D$4</f>
        <v>0</v>
      </c>
      <c r="R85" s="41">
        <f>E85*'1-Data Input'!$D$5</f>
        <v>0</v>
      </c>
      <c r="S85" s="41">
        <f>F85*'1-Data Input'!$D$6</f>
        <v>0</v>
      </c>
      <c r="T85" s="41">
        <f>G85*'1-Data Input'!$D$7</f>
        <v>0</v>
      </c>
      <c r="U85" s="41">
        <f>H85*'1-Data Input'!$D$8</f>
        <v>0</v>
      </c>
      <c r="V85" s="41">
        <f>I85*'1-Data Input'!$D$9</f>
        <v>0</v>
      </c>
      <c r="W85" s="41">
        <f>J85*'1-Data Input'!$D$10</f>
        <v>0</v>
      </c>
      <c r="X85" s="41">
        <f>K85*'1-Data Input'!$D$11</f>
        <v>0</v>
      </c>
      <c r="Y85" s="41">
        <f>L85*'1-Data Input'!$D$12</f>
        <v>0</v>
      </c>
      <c r="Z85" s="41">
        <f>M85*'1-Data Input'!$D$13</f>
        <v>0</v>
      </c>
    </row>
    <row r="86" spans="1:26" x14ac:dyDescent="0.25">
      <c r="A86" s="32">
        <v>4.1666666666666699E-2</v>
      </c>
      <c r="B86" s="42">
        <v>3.2567815173515917E-2</v>
      </c>
      <c r="C86" s="42">
        <v>3.3645721521014076E-2</v>
      </c>
      <c r="D86" s="42">
        <v>3.3495587343903267E-2</v>
      </c>
      <c r="E86" s="42">
        <v>3.2637971848504449E-2</v>
      </c>
      <c r="F86" s="42">
        <v>3.217470997221878E-2</v>
      </c>
      <c r="G86" s="42">
        <v>3.1574446424026473E-2</v>
      </c>
      <c r="H86" s="42">
        <v>3.2210666381574826E-2</v>
      </c>
      <c r="I86" s="42">
        <v>3.2110877330332244E-2</v>
      </c>
      <c r="J86" s="42">
        <v>3.3563700384492627E-2</v>
      </c>
      <c r="K86" s="42">
        <v>3.306804985677788E-2</v>
      </c>
      <c r="L86" s="42">
        <v>3.2605556859612715E-2</v>
      </c>
      <c r="M86" s="42">
        <v>3.2396939966906971E-2</v>
      </c>
      <c r="N86" s="32">
        <v>4.1666666666666699E-2</v>
      </c>
      <c r="O86" s="20">
        <f>B86*'1-Data Input'!$D$2</f>
        <v>0</v>
      </c>
      <c r="P86" s="20">
        <f>C86*'1-Data Input'!$D$3</f>
        <v>0</v>
      </c>
      <c r="Q86" s="20">
        <f>D86*'1-Data Input'!$D$4</f>
        <v>0</v>
      </c>
      <c r="R86" s="20">
        <f>E86*'1-Data Input'!$D$5</f>
        <v>0</v>
      </c>
      <c r="S86" s="20">
        <f>F86*'1-Data Input'!$D$6</f>
        <v>0</v>
      </c>
      <c r="T86" s="20">
        <f>G86*'1-Data Input'!$D$7</f>
        <v>0</v>
      </c>
      <c r="U86" s="20">
        <f>H86*'1-Data Input'!$D$8</f>
        <v>0</v>
      </c>
      <c r="V86" s="20">
        <f>I86*'1-Data Input'!$D$9</f>
        <v>0</v>
      </c>
      <c r="W86" s="20">
        <f>J86*'1-Data Input'!$D$10</f>
        <v>0</v>
      </c>
      <c r="X86" s="20">
        <f>K86*'1-Data Input'!$D$11</f>
        <v>0</v>
      </c>
      <c r="Y86" s="20">
        <f>L86*'1-Data Input'!$D$12</f>
        <v>0</v>
      </c>
      <c r="Z86" s="21">
        <f>M86*'1-Data Input'!$D$13</f>
        <v>0</v>
      </c>
    </row>
    <row r="87" spans="1:26" x14ac:dyDescent="0.25">
      <c r="A87" s="32">
        <v>8.3333333333333301E-2</v>
      </c>
      <c r="B87" s="42">
        <v>3.2911754408384133E-2</v>
      </c>
      <c r="C87" s="42">
        <v>3.224335636408307E-2</v>
      </c>
      <c r="D87" s="42">
        <v>3.210064764381531E-2</v>
      </c>
      <c r="E87" s="42">
        <v>3.2914375371226698E-2</v>
      </c>
      <c r="F87" s="42">
        <v>3.1324898343001652E-2</v>
      </c>
      <c r="G87" s="42">
        <v>3.1224230083990834E-2</v>
      </c>
      <c r="H87" s="42">
        <v>3.2099339193620076E-2</v>
      </c>
      <c r="I87" s="42">
        <v>3.2058451408160271E-2</v>
      </c>
      <c r="J87" s="42">
        <v>3.2462620055292712E-2</v>
      </c>
      <c r="K87" s="42">
        <v>3.3560424247116194E-2</v>
      </c>
      <c r="L87" s="42">
        <v>3.178146779044496E-2</v>
      </c>
      <c r="M87" s="42">
        <v>3.204935192908883E-2</v>
      </c>
      <c r="N87" s="32">
        <v>8.3333333333333301E-2</v>
      </c>
      <c r="O87" s="20">
        <f>B87*'1-Data Input'!$D$2</f>
        <v>0</v>
      </c>
      <c r="P87" s="20">
        <f>C87*'1-Data Input'!$D$3</f>
        <v>0</v>
      </c>
      <c r="Q87" s="20">
        <f>D87*'1-Data Input'!$D$4</f>
        <v>0</v>
      </c>
      <c r="R87" s="20">
        <f>E87*'1-Data Input'!$D$5</f>
        <v>0</v>
      </c>
      <c r="S87" s="20">
        <f>F87*'1-Data Input'!$D$6</f>
        <v>0</v>
      </c>
      <c r="T87" s="20">
        <f>G87*'1-Data Input'!$D$7</f>
        <v>0</v>
      </c>
      <c r="U87" s="20">
        <f>H87*'1-Data Input'!$D$8</f>
        <v>0</v>
      </c>
      <c r="V87" s="20">
        <f>I87*'1-Data Input'!$D$9</f>
        <v>0</v>
      </c>
      <c r="W87" s="20">
        <f>J87*'1-Data Input'!$D$10</f>
        <v>0</v>
      </c>
      <c r="X87" s="20">
        <f>K87*'1-Data Input'!$D$11</f>
        <v>0</v>
      </c>
      <c r="Y87" s="20">
        <f>L87*'1-Data Input'!$D$12</f>
        <v>0</v>
      </c>
      <c r="Z87" s="21">
        <f>M87*'1-Data Input'!$D$13</f>
        <v>0</v>
      </c>
    </row>
    <row r="88" spans="1:26" x14ac:dyDescent="0.25">
      <c r="A88" s="32">
        <v>0.125</v>
      </c>
      <c r="B88" s="42">
        <v>3.2572090661242184E-2</v>
      </c>
      <c r="C88" s="42">
        <v>3.3692651063667277E-2</v>
      </c>
      <c r="D88" s="42">
        <v>3.3203161043138564E-2</v>
      </c>
      <c r="E88" s="42">
        <v>3.3259879774629506E-2</v>
      </c>
      <c r="F88" s="42">
        <v>2.9766997684821224E-2</v>
      </c>
      <c r="G88" s="42">
        <v>3.1878340544667851E-2</v>
      </c>
      <c r="H88" s="42">
        <v>3.1708368712112314E-2</v>
      </c>
      <c r="I88" s="42">
        <v>3.135725469911016E-2</v>
      </c>
      <c r="J88" s="42">
        <v>3.1917854787524222E-2</v>
      </c>
      <c r="K88" s="42">
        <v>3.2596578152821853E-2</v>
      </c>
      <c r="L88" s="42">
        <v>3.3214757949166542E-2</v>
      </c>
      <c r="M88" s="42">
        <v>3.1809012319246779E-2</v>
      </c>
      <c r="N88" s="32">
        <v>0.125</v>
      </c>
      <c r="O88" s="20">
        <f>B88*'1-Data Input'!$D$2</f>
        <v>0</v>
      </c>
      <c r="P88" s="20">
        <f>C88*'1-Data Input'!$D$3</f>
        <v>0</v>
      </c>
      <c r="Q88" s="20">
        <f>D88*'1-Data Input'!$D$4</f>
        <v>0</v>
      </c>
      <c r="R88" s="20">
        <f>E88*'1-Data Input'!$D$5</f>
        <v>0</v>
      </c>
      <c r="S88" s="20">
        <f>F88*'1-Data Input'!$D$6</f>
        <v>0</v>
      </c>
      <c r="T88" s="20">
        <f>G88*'1-Data Input'!$D$7</f>
        <v>0</v>
      </c>
      <c r="U88" s="20">
        <f>H88*'1-Data Input'!$D$8</f>
        <v>0</v>
      </c>
      <c r="V88" s="20">
        <f>I88*'1-Data Input'!$D$9</f>
        <v>0</v>
      </c>
      <c r="W88" s="20">
        <f>J88*'1-Data Input'!$D$10</f>
        <v>0</v>
      </c>
      <c r="X88" s="20">
        <f>K88*'1-Data Input'!$D$11</f>
        <v>0</v>
      </c>
      <c r="Y88" s="20">
        <f>L88*'1-Data Input'!$D$12</f>
        <v>0</v>
      </c>
      <c r="Z88" s="21">
        <f>M88*'1-Data Input'!$D$13</f>
        <v>0</v>
      </c>
    </row>
    <row r="89" spans="1:26" x14ac:dyDescent="0.25">
      <c r="A89" s="32">
        <v>0.16666666666666699</v>
      </c>
      <c r="B89" s="42">
        <v>3.5024795453541362E-2</v>
      </c>
      <c r="C89" s="42">
        <v>3.5837607219051916E-2</v>
      </c>
      <c r="D89" s="42">
        <v>3.5426168747010087E-2</v>
      </c>
      <c r="E89" s="42">
        <v>3.5497528881373606E-2</v>
      </c>
      <c r="F89" s="42">
        <v>3.3512011144586094E-2</v>
      </c>
      <c r="G89" s="42">
        <v>3.4445405955713923E-2</v>
      </c>
      <c r="H89" s="42">
        <v>3.4230459648753889E-2</v>
      </c>
      <c r="I89" s="42">
        <v>3.2624651367617552E-2</v>
      </c>
      <c r="J89" s="42">
        <v>3.3457442282793612E-2</v>
      </c>
      <c r="K89" s="42">
        <v>3.3667260199736773E-2</v>
      </c>
      <c r="L89" s="42">
        <v>3.3319879966698697E-2</v>
      </c>
      <c r="M89" s="42">
        <v>3.3039966844206452E-2</v>
      </c>
      <c r="N89" s="32">
        <v>0.16666666666666699</v>
      </c>
      <c r="O89" s="20">
        <f>B89*'1-Data Input'!$D$2</f>
        <v>0</v>
      </c>
      <c r="P89" s="20">
        <f>C89*'1-Data Input'!$D$3</f>
        <v>0</v>
      </c>
      <c r="Q89" s="20">
        <f>D89*'1-Data Input'!$D$4</f>
        <v>0</v>
      </c>
      <c r="R89" s="20">
        <f>E89*'1-Data Input'!$D$5</f>
        <v>0</v>
      </c>
      <c r="S89" s="20">
        <f>F89*'1-Data Input'!$D$6</f>
        <v>0</v>
      </c>
      <c r="T89" s="20">
        <f>G89*'1-Data Input'!$D$7</f>
        <v>0</v>
      </c>
      <c r="U89" s="20">
        <f>H89*'1-Data Input'!$D$8</f>
        <v>0</v>
      </c>
      <c r="V89" s="20">
        <f>I89*'1-Data Input'!$D$9</f>
        <v>0</v>
      </c>
      <c r="W89" s="20">
        <f>J89*'1-Data Input'!$D$10</f>
        <v>0</v>
      </c>
      <c r="X89" s="20">
        <f>K89*'1-Data Input'!$D$11</f>
        <v>0</v>
      </c>
      <c r="Y89" s="20">
        <f>L89*'1-Data Input'!$D$12</f>
        <v>0</v>
      </c>
      <c r="Z89" s="21">
        <f>M89*'1-Data Input'!$D$13</f>
        <v>0</v>
      </c>
    </row>
    <row r="90" spans="1:26" x14ac:dyDescent="0.25">
      <c r="A90" s="32">
        <v>0.20833333333333301</v>
      </c>
      <c r="B90" s="42">
        <v>4.1358217938711354E-2</v>
      </c>
      <c r="C90" s="42">
        <v>4.2595461361113161E-2</v>
      </c>
      <c r="D90" s="42">
        <v>4.348539974154815E-2</v>
      </c>
      <c r="E90" s="42">
        <v>4.290351738725505E-2</v>
      </c>
      <c r="F90" s="42">
        <v>4.4387789912418006E-2</v>
      </c>
      <c r="G90" s="42">
        <v>4.7045049630949347E-2</v>
      </c>
      <c r="H90" s="42">
        <v>4.2604738120461325E-2</v>
      </c>
      <c r="I90" s="42">
        <v>4.3487302441649944E-2</v>
      </c>
      <c r="J90" s="42">
        <v>4.2310744118556322E-2</v>
      </c>
      <c r="K90" s="42">
        <v>4.2293102113493838E-2</v>
      </c>
      <c r="L90" s="42">
        <v>4.2437209647921456E-2</v>
      </c>
      <c r="M90" s="42">
        <v>4.2852682348140339E-2</v>
      </c>
      <c r="N90" s="32">
        <v>0.20833333333333301</v>
      </c>
      <c r="O90" s="20">
        <f>B90*'1-Data Input'!$D$2</f>
        <v>0</v>
      </c>
      <c r="P90" s="20">
        <f>C90*'1-Data Input'!$D$3</f>
        <v>0</v>
      </c>
      <c r="Q90" s="20">
        <f>D90*'1-Data Input'!$D$4</f>
        <v>0</v>
      </c>
      <c r="R90" s="20">
        <f>E90*'1-Data Input'!$D$5</f>
        <v>0</v>
      </c>
      <c r="S90" s="20">
        <f>F90*'1-Data Input'!$D$6</f>
        <v>0</v>
      </c>
      <c r="T90" s="20">
        <f>G90*'1-Data Input'!$D$7</f>
        <v>0</v>
      </c>
      <c r="U90" s="20">
        <f>H90*'1-Data Input'!$D$8</f>
        <v>0</v>
      </c>
      <c r="V90" s="20">
        <f>I90*'1-Data Input'!$D$9</f>
        <v>0</v>
      </c>
      <c r="W90" s="20">
        <f>J90*'1-Data Input'!$D$10</f>
        <v>0</v>
      </c>
      <c r="X90" s="20">
        <f>K90*'1-Data Input'!$D$11</f>
        <v>0</v>
      </c>
      <c r="Y90" s="20">
        <f>L90*'1-Data Input'!$D$12</f>
        <v>0</v>
      </c>
      <c r="Z90" s="21">
        <f>M90*'1-Data Input'!$D$13</f>
        <v>0</v>
      </c>
    </row>
    <row r="91" spans="1:26" x14ac:dyDescent="0.25">
      <c r="A91" s="32">
        <v>0.25</v>
      </c>
      <c r="B91" s="42">
        <v>5.0856926503890933E-2</v>
      </c>
      <c r="C91" s="42">
        <v>4.9828132052371521E-2</v>
      </c>
      <c r="D91" s="42">
        <v>4.7512176148518499E-2</v>
      </c>
      <c r="E91" s="42">
        <v>4.7290915215759878E-2</v>
      </c>
      <c r="F91" s="42">
        <v>5.3154763539765323E-2</v>
      </c>
      <c r="G91" s="42">
        <v>5.298294731483838E-2</v>
      </c>
      <c r="H91" s="42">
        <v>4.9494212311550032E-2</v>
      </c>
      <c r="I91" s="42">
        <v>5.105629495522826E-2</v>
      </c>
      <c r="J91" s="42">
        <v>4.8820977813231366E-2</v>
      </c>
      <c r="K91" s="42">
        <v>5.0607726252225746E-2</v>
      </c>
      <c r="L91" s="42">
        <v>5.0933517289827743E-2</v>
      </c>
      <c r="M91" s="42">
        <v>5.2680363864535736E-2</v>
      </c>
      <c r="N91" s="32">
        <v>0.25</v>
      </c>
      <c r="O91" s="20">
        <f>B91*'1-Data Input'!$D$2</f>
        <v>0</v>
      </c>
      <c r="P91" s="20">
        <f>C91*'1-Data Input'!$D$3</f>
        <v>0</v>
      </c>
      <c r="Q91" s="20">
        <f>D91*'1-Data Input'!$D$4</f>
        <v>0</v>
      </c>
      <c r="R91" s="20">
        <f>E91*'1-Data Input'!$D$5</f>
        <v>0</v>
      </c>
      <c r="S91" s="20">
        <f>F91*'1-Data Input'!$D$6</f>
        <v>0</v>
      </c>
      <c r="T91" s="20">
        <f>G91*'1-Data Input'!$D$7</f>
        <v>0</v>
      </c>
      <c r="U91" s="20">
        <f>H91*'1-Data Input'!$D$8</f>
        <v>0</v>
      </c>
      <c r="V91" s="20">
        <f>I91*'1-Data Input'!$D$9</f>
        <v>0</v>
      </c>
      <c r="W91" s="20">
        <f>J91*'1-Data Input'!$D$10</f>
        <v>0</v>
      </c>
      <c r="X91" s="20">
        <f>K91*'1-Data Input'!$D$11</f>
        <v>0</v>
      </c>
      <c r="Y91" s="20">
        <f>L91*'1-Data Input'!$D$12</f>
        <v>0</v>
      </c>
      <c r="Z91" s="21">
        <f>M91*'1-Data Input'!$D$13</f>
        <v>0</v>
      </c>
    </row>
    <row r="92" spans="1:26" x14ac:dyDescent="0.25">
      <c r="A92" s="32">
        <v>0.29166666666666702</v>
      </c>
      <c r="B92" s="42">
        <v>5.0114416802096697E-2</v>
      </c>
      <c r="C92" s="42">
        <v>4.9513428060461807E-2</v>
      </c>
      <c r="D92" s="42">
        <v>4.9723827491195284E-2</v>
      </c>
      <c r="E92" s="42">
        <v>5.0197725056741471E-2</v>
      </c>
      <c r="F92" s="42">
        <v>5.0334037227408264E-2</v>
      </c>
      <c r="G92" s="42">
        <v>4.9533214558411809E-2</v>
      </c>
      <c r="H92" s="42">
        <v>4.8718897966865148E-2</v>
      </c>
      <c r="I92" s="42">
        <v>4.8782320581019015E-2</v>
      </c>
      <c r="J92" s="42">
        <v>4.6915261858846889E-2</v>
      </c>
      <c r="K92" s="42">
        <v>4.9102732832701085E-2</v>
      </c>
      <c r="L92" s="42">
        <v>5.0433237808801205E-2</v>
      </c>
      <c r="M92" s="42">
        <v>5.0744759586179689E-2</v>
      </c>
      <c r="N92" s="32">
        <v>0.29166666666666702</v>
      </c>
      <c r="O92" s="20">
        <f>B92*'1-Data Input'!$D$2</f>
        <v>0</v>
      </c>
      <c r="P92" s="20">
        <f>C92*'1-Data Input'!$D$3</f>
        <v>0</v>
      </c>
      <c r="Q92" s="20">
        <f>D92*'1-Data Input'!$D$4</f>
        <v>0</v>
      </c>
      <c r="R92" s="20">
        <f>E92*'1-Data Input'!$D$5</f>
        <v>0</v>
      </c>
      <c r="S92" s="20">
        <f>F92*'1-Data Input'!$D$6</f>
        <v>0</v>
      </c>
      <c r="T92" s="20">
        <f>G92*'1-Data Input'!$D$7</f>
        <v>0</v>
      </c>
      <c r="U92" s="20">
        <f>H92*'1-Data Input'!$D$8</f>
        <v>0</v>
      </c>
      <c r="V92" s="20">
        <f>I92*'1-Data Input'!$D$9</f>
        <v>0</v>
      </c>
      <c r="W92" s="20">
        <f>J92*'1-Data Input'!$D$10</f>
        <v>0</v>
      </c>
      <c r="X92" s="20">
        <f>K92*'1-Data Input'!$D$11</f>
        <v>0</v>
      </c>
      <c r="Y92" s="20">
        <f>L92*'1-Data Input'!$D$12</f>
        <v>0</v>
      </c>
      <c r="Z92" s="21">
        <f>M92*'1-Data Input'!$D$13</f>
        <v>0</v>
      </c>
    </row>
    <row r="93" spans="1:26" x14ac:dyDescent="0.25">
      <c r="A93" s="32">
        <v>0.33333333333333298</v>
      </c>
      <c r="B93" s="42">
        <v>5.2417479523976691E-2</v>
      </c>
      <c r="C93" s="42">
        <v>5.1015173425364303E-2</v>
      </c>
      <c r="D93" s="42">
        <v>4.9097334898618457E-2</v>
      </c>
      <c r="E93" s="42">
        <v>5.0829794877084271E-2</v>
      </c>
      <c r="F93" s="42">
        <v>4.9922509378443357E-2</v>
      </c>
      <c r="G93" s="42">
        <v>4.9926189870195974E-2</v>
      </c>
      <c r="H93" s="42">
        <v>4.7181522514156679E-2</v>
      </c>
      <c r="I93" s="42">
        <v>4.7489147834110401E-2</v>
      </c>
      <c r="J93" s="42">
        <v>4.7816145764555923E-2</v>
      </c>
      <c r="K93" s="42">
        <v>4.9214213826739947E-2</v>
      </c>
      <c r="L93" s="42">
        <v>5.0011061031563629E-2</v>
      </c>
      <c r="M93" s="42">
        <v>5.0801297855478753E-2</v>
      </c>
      <c r="N93" s="32">
        <v>0.33333333333333298</v>
      </c>
      <c r="O93" s="20">
        <f>B93*'1-Data Input'!$D$2</f>
        <v>0</v>
      </c>
      <c r="P93" s="20">
        <f>C93*'1-Data Input'!$D$3</f>
        <v>0</v>
      </c>
      <c r="Q93" s="20">
        <f>D93*'1-Data Input'!$D$4</f>
        <v>0</v>
      </c>
      <c r="R93" s="20">
        <f>E93*'1-Data Input'!$D$5</f>
        <v>0</v>
      </c>
      <c r="S93" s="20">
        <f>F93*'1-Data Input'!$D$6</f>
        <v>0</v>
      </c>
      <c r="T93" s="20">
        <f>G93*'1-Data Input'!$D$7</f>
        <v>0</v>
      </c>
      <c r="U93" s="20">
        <f>H93*'1-Data Input'!$D$8</f>
        <v>0</v>
      </c>
      <c r="V93" s="20">
        <f>I93*'1-Data Input'!$D$9</f>
        <v>0</v>
      </c>
      <c r="W93" s="20">
        <f>J93*'1-Data Input'!$D$10</f>
        <v>0</v>
      </c>
      <c r="X93" s="20">
        <f>K93*'1-Data Input'!$D$11</f>
        <v>0</v>
      </c>
      <c r="Y93" s="20">
        <f>L93*'1-Data Input'!$D$12</f>
        <v>0</v>
      </c>
      <c r="Z93" s="21">
        <f>M93*'1-Data Input'!$D$13</f>
        <v>0</v>
      </c>
    </row>
    <row r="94" spans="1:26" x14ac:dyDescent="0.25">
      <c r="A94" s="32">
        <v>0.375</v>
      </c>
      <c r="B94" s="42">
        <v>4.8947208652827069E-2</v>
      </c>
      <c r="C94" s="42">
        <v>5.2050383925067313E-2</v>
      </c>
      <c r="D94" s="42">
        <v>5.2572854605927179E-2</v>
      </c>
      <c r="E94" s="42">
        <v>5.1513182263226591E-2</v>
      </c>
      <c r="F94" s="42">
        <v>5.2940196880545652E-2</v>
      </c>
      <c r="G94" s="42">
        <v>4.939424790022906E-2</v>
      </c>
      <c r="H94" s="42">
        <v>4.9626744678162832E-2</v>
      </c>
      <c r="I94" s="42">
        <v>4.9024790471064388E-2</v>
      </c>
      <c r="J94" s="42">
        <v>4.841096013819713E-2</v>
      </c>
      <c r="K94" s="42">
        <v>4.8354881164357037E-2</v>
      </c>
      <c r="L94" s="42">
        <v>4.9806305294603406E-2</v>
      </c>
      <c r="M94" s="42">
        <v>5.2144081751331423E-2</v>
      </c>
      <c r="N94" s="32">
        <v>0.375</v>
      </c>
      <c r="O94" s="20">
        <f>B94*'1-Data Input'!$D$2</f>
        <v>0</v>
      </c>
      <c r="P94" s="20">
        <f>C94*'1-Data Input'!$D$3</f>
        <v>0</v>
      </c>
      <c r="Q94" s="20">
        <f>D94*'1-Data Input'!$D$4</f>
        <v>0</v>
      </c>
      <c r="R94" s="20">
        <f>E94*'1-Data Input'!$D$5</f>
        <v>0</v>
      </c>
      <c r="S94" s="20">
        <f>F94*'1-Data Input'!$D$6</f>
        <v>0</v>
      </c>
      <c r="T94" s="20">
        <f>G94*'1-Data Input'!$D$7</f>
        <v>0</v>
      </c>
      <c r="U94" s="20">
        <f>H94*'1-Data Input'!$D$8</f>
        <v>0</v>
      </c>
      <c r="V94" s="20">
        <f>I94*'1-Data Input'!$D$9</f>
        <v>0</v>
      </c>
      <c r="W94" s="20">
        <f>J94*'1-Data Input'!$D$10</f>
        <v>0</v>
      </c>
      <c r="X94" s="20">
        <f>K94*'1-Data Input'!$D$11</f>
        <v>0</v>
      </c>
      <c r="Y94" s="20">
        <f>L94*'1-Data Input'!$D$12</f>
        <v>0</v>
      </c>
      <c r="Z94" s="21">
        <f>M94*'1-Data Input'!$D$13</f>
        <v>0</v>
      </c>
    </row>
    <row r="95" spans="1:26" x14ac:dyDescent="0.25">
      <c r="A95" s="32">
        <v>0.41666666666666702</v>
      </c>
      <c r="B95" s="42">
        <v>5.2634104235440654E-2</v>
      </c>
      <c r="C95" s="42">
        <v>5.1677708145174236E-2</v>
      </c>
      <c r="D95" s="42">
        <v>5.2046203355520827E-2</v>
      </c>
      <c r="E95" s="42">
        <v>5.2075643108177937E-2</v>
      </c>
      <c r="F95" s="42">
        <v>5.2090182807483107E-2</v>
      </c>
      <c r="G95" s="42">
        <v>5.0180707559175364E-2</v>
      </c>
      <c r="H95" s="42">
        <v>5.066977440340556E-2</v>
      </c>
      <c r="I95" s="42">
        <v>5.1309250029708021E-2</v>
      </c>
      <c r="J95" s="42">
        <v>4.9197501086643086E-2</v>
      </c>
      <c r="K95" s="42">
        <v>5.0324378725710286E-2</v>
      </c>
      <c r="L95" s="42">
        <v>4.9794906521617992E-2</v>
      </c>
      <c r="M95" s="42">
        <v>5.2126621403459646E-2</v>
      </c>
      <c r="N95" s="32">
        <v>0.41666666666666702</v>
      </c>
      <c r="O95" s="20">
        <f>B95*'1-Data Input'!$D$2</f>
        <v>0</v>
      </c>
      <c r="P95" s="20">
        <f>C95*'1-Data Input'!$D$3</f>
        <v>0</v>
      </c>
      <c r="Q95" s="20">
        <f>D95*'1-Data Input'!$D$4</f>
        <v>0</v>
      </c>
      <c r="R95" s="20">
        <f>E95*'1-Data Input'!$D$5</f>
        <v>0</v>
      </c>
      <c r="S95" s="20">
        <f>F95*'1-Data Input'!$D$6</f>
        <v>0</v>
      </c>
      <c r="T95" s="20">
        <f>G95*'1-Data Input'!$D$7</f>
        <v>0</v>
      </c>
      <c r="U95" s="20">
        <f>H95*'1-Data Input'!$D$8</f>
        <v>0</v>
      </c>
      <c r="V95" s="20">
        <f>I95*'1-Data Input'!$D$9</f>
        <v>0</v>
      </c>
      <c r="W95" s="20">
        <f>J95*'1-Data Input'!$D$10</f>
        <v>0</v>
      </c>
      <c r="X95" s="20">
        <f>K95*'1-Data Input'!$D$11</f>
        <v>0</v>
      </c>
      <c r="Y95" s="20">
        <f>L95*'1-Data Input'!$D$12</f>
        <v>0</v>
      </c>
      <c r="Z95" s="21">
        <f>M95*'1-Data Input'!$D$13</f>
        <v>0</v>
      </c>
    </row>
    <row r="96" spans="1:26" x14ac:dyDescent="0.25">
      <c r="A96" s="32">
        <v>0.45833333333333298</v>
      </c>
      <c r="B96" s="42">
        <v>5.1077826703081149E-2</v>
      </c>
      <c r="C96" s="42">
        <v>4.9818930181263051E-2</v>
      </c>
      <c r="D96" s="42">
        <v>5.3024743145134778E-2</v>
      </c>
      <c r="E96" s="42">
        <v>5.1358213376406212E-2</v>
      </c>
      <c r="F96" s="42">
        <v>5.2112189644326151E-2</v>
      </c>
      <c r="G96" s="42">
        <v>5.0740646474930005E-2</v>
      </c>
      <c r="H96" s="42">
        <v>5.0795238377132346E-2</v>
      </c>
      <c r="I96" s="42">
        <v>5.1954088872423261E-2</v>
      </c>
      <c r="J96" s="42">
        <v>5.0033706147839668E-2</v>
      </c>
      <c r="K96" s="42">
        <v>5.0801269644654326E-2</v>
      </c>
      <c r="L96" s="42">
        <v>5.0137714064734898E-2</v>
      </c>
      <c r="M96" s="42">
        <v>5.2588904899493145E-2</v>
      </c>
      <c r="N96" s="32">
        <v>0.45833333333333298</v>
      </c>
      <c r="O96" s="20">
        <f>B96*'1-Data Input'!$D$2</f>
        <v>0</v>
      </c>
      <c r="P96" s="20">
        <f>C96*'1-Data Input'!$D$3</f>
        <v>0</v>
      </c>
      <c r="Q96" s="20">
        <f>D96*'1-Data Input'!$D$4</f>
        <v>0</v>
      </c>
      <c r="R96" s="20">
        <f>E96*'1-Data Input'!$D$5</f>
        <v>0</v>
      </c>
      <c r="S96" s="20">
        <f>F96*'1-Data Input'!$D$6</f>
        <v>0</v>
      </c>
      <c r="T96" s="20">
        <f>G96*'1-Data Input'!$D$7</f>
        <v>0</v>
      </c>
      <c r="U96" s="20">
        <f>H96*'1-Data Input'!$D$8</f>
        <v>0</v>
      </c>
      <c r="V96" s="20">
        <f>I96*'1-Data Input'!$D$9</f>
        <v>0</v>
      </c>
      <c r="W96" s="20">
        <f>J96*'1-Data Input'!$D$10</f>
        <v>0</v>
      </c>
      <c r="X96" s="20">
        <f>K96*'1-Data Input'!$D$11</f>
        <v>0</v>
      </c>
      <c r="Y96" s="20">
        <f>L96*'1-Data Input'!$D$12</f>
        <v>0</v>
      </c>
      <c r="Z96" s="21">
        <f>M96*'1-Data Input'!$D$13</f>
        <v>0</v>
      </c>
    </row>
    <row r="97" spans="1:26" x14ac:dyDescent="0.25">
      <c r="A97" s="32">
        <v>0.5</v>
      </c>
      <c r="B97" s="42">
        <v>5.1605136855986847E-2</v>
      </c>
      <c r="C97" s="42">
        <v>5.0352638705554377E-2</v>
      </c>
      <c r="D97" s="42">
        <v>5.2083111529403758E-2</v>
      </c>
      <c r="E97" s="42">
        <v>5.0651961728273992E-2</v>
      </c>
      <c r="F97" s="42">
        <v>5.1628039233779205E-2</v>
      </c>
      <c r="G97" s="42">
        <v>5.0577755153983203E-2</v>
      </c>
      <c r="H97" s="42">
        <v>5.1866541673919138E-2</v>
      </c>
      <c r="I97" s="42">
        <v>5.1233232442558667E-2</v>
      </c>
      <c r="J97" s="42">
        <v>5.0564996656334731E-2</v>
      </c>
      <c r="K97" s="42">
        <v>4.9760006193388544E-2</v>
      </c>
      <c r="L97" s="42">
        <v>5.1034839716364758E-2</v>
      </c>
      <c r="M97" s="42">
        <v>5.1121404233127832E-2</v>
      </c>
      <c r="N97" s="32">
        <v>0.5</v>
      </c>
      <c r="O97" s="20">
        <f>B97*'1-Data Input'!$D$2</f>
        <v>0</v>
      </c>
      <c r="P97" s="20">
        <f>C97*'1-Data Input'!$D$3</f>
        <v>0</v>
      </c>
      <c r="Q97" s="20">
        <f>D97*'1-Data Input'!$D$4</f>
        <v>0</v>
      </c>
      <c r="R97" s="20">
        <f>E97*'1-Data Input'!$D$5</f>
        <v>0</v>
      </c>
      <c r="S97" s="20">
        <f>F97*'1-Data Input'!$D$6</f>
        <v>0</v>
      </c>
      <c r="T97" s="20">
        <f>G97*'1-Data Input'!$D$7</f>
        <v>0</v>
      </c>
      <c r="U97" s="20">
        <f>H97*'1-Data Input'!$D$8</f>
        <v>0</v>
      </c>
      <c r="V97" s="20">
        <f>I97*'1-Data Input'!$D$9</f>
        <v>0</v>
      </c>
      <c r="W97" s="20">
        <f>J97*'1-Data Input'!$D$10</f>
        <v>0</v>
      </c>
      <c r="X97" s="20">
        <f>K97*'1-Data Input'!$D$11</f>
        <v>0</v>
      </c>
      <c r="Y97" s="20">
        <f>L97*'1-Data Input'!$D$12</f>
        <v>0</v>
      </c>
      <c r="Z97" s="21">
        <f>M97*'1-Data Input'!$D$13</f>
        <v>0</v>
      </c>
    </row>
    <row r="98" spans="1:26" x14ac:dyDescent="0.25">
      <c r="A98" s="32">
        <v>0.54166666666666696</v>
      </c>
      <c r="B98" s="42">
        <v>4.9173809502318977E-2</v>
      </c>
      <c r="C98" s="42">
        <v>4.8657654047373988E-2</v>
      </c>
      <c r="D98" s="42">
        <v>4.9712471130000532E-2</v>
      </c>
      <c r="E98" s="42">
        <v>4.9722148407351723E-2</v>
      </c>
      <c r="F98" s="42">
        <v>5.2565530483292836E-2</v>
      </c>
      <c r="G98" s="42">
        <v>5.0156273861033343E-2</v>
      </c>
      <c r="H98" s="42">
        <v>5.1464968603082362E-2</v>
      </c>
      <c r="I98" s="42">
        <v>5.1251581515318854E-2</v>
      </c>
      <c r="J98" s="42">
        <v>4.9955167550931705E-2</v>
      </c>
      <c r="K98" s="42">
        <v>4.8457072075559326E-2</v>
      </c>
      <c r="L98" s="42">
        <v>4.939974905812361E-2</v>
      </c>
      <c r="M98" s="42">
        <v>5.0460405349410896E-2</v>
      </c>
      <c r="N98" s="32">
        <v>0.54166666666666696</v>
      </c>
      <c r="O98" s="20">
        <f>B98*'1-Data Input'!$D$2</f>
        <v>0</v>
      </c>
      <c r="P98" s="20">
        <f>C98*'1-Data Input'!$D$3</f>
        <v>0</v>
      </c>
      <c r="Q98" s="20">
        <f>D98*'1-Data Input'!$D$4</f>
        <v>0</v>
      </c>
      <c r="R98" s="20">
        <f>E98*'1-Data Input'!$D$5</f>
        <v>0</v>
      </c>
      <c r="S98" s="20">
        <f>F98*'1-Data Input'!$D$6</f>
        <v>0</v>
      </c>
      <c r="T98" s="20">
        <f>G98*'1-Data Input'!$D$7</f>
        <v>0</v>
      </c>
      <c r="U98" s="20">
        <f>H98*'1-Data Input'!$D$8</f>
        <v>0</v>
      </c>
      <c r="V98" s="20">
        <f>I98*'1-Data Input'!$D$9</f>
        <v>0</v>
      </c>
      <c r="W98" s="20">
        <f>J98*'1-Data Input'!$D$10</f>
        <v>0</v>
      </c>
      <c r="X98" s="20">
        <f>K98*'1-Data Input'!$D$11</f>
        <v>0</v>
      </c>
      <c r="Y98" s="20">
        <f>L98*'1-Data Input'!$D$12</f>
        <v>0</v>
      </c>
      <c r="Z98" s="21">
        <f>M98*'1-Data Input'!$D$13</f>
        <v>0</v>
      </c>
    </row>
    <row r="99" spans="1:26" x14ac:dyDescent="0.25">
      <c r="A99" s="32">
        <v>0.58333333333333304</v>
      </c>
      <c r="B99" s="42">
        <v>4.7989974456336099E-2</v>
      </c>
      <c r="C99" s="42">
        <v>4.760127924412149E-2</v>
      </c>
      <c r="D99" s="42">
        <v>4.926768031653965E-2</v>
      </c>
      <c r="E99" s="42">
        <v>4.8878711187280148E-2</v>
      </c>
      <c r="F99" s="42">
        <v>5.043967004425487E-2</v>
      </c>
      <c r="G99" s="42">
        <v>4.8236192415372865E-2</v>
      </c>
      <c r="H99" s="42">
        <v>4.9593611586509628E-2</v>
      </c>
      <c r="I99" s="42">
        <v>4.8922123040144275E-2</v>
      </c>
      <c r="J99" s="42">
        <v>4.7554350441529357E-2</v>
      </c>
      <c r="K99" s="42">
        <v>4.6953627003174105E-2</v>
      </c>
      <c r="L99" s="42">
        <v>4.8921844946290677E-2</v>
      </c>
      <c r="M99" s="42">
        <v>4.7117995899672353E-2</v>
      </c>
      <c r="N99" s="32">
        <v>0.58333333333333304</v>
      </c>
      <c r="O99" s="20">
        <f>B99*'1-Data Input'!$D$2</f>
        <v>0</v>
      </c>
      <c r="P99" s="20">
        <f>C99*'1-Data Input'!$D$3</f>
        <v>0</v>
      </c>
      <c r="Q99" s="20">
        <f>D99*'1-Data Input'!$D$4</f>
        <v>0</v>
      </c>
      <c r="R99" s="20">
        <f>E99*'1-Data Input'!$D$5</f>
        <v>0</v>
      </c>
      <c r="S99" s="20">
        <f>F99*'1-Data Input'!$D$6</f>
        <v>0</v>
      </c>
      <c r="T99" s="20">
        <f>G99*'1-Data Input'!$D$7</f>
        <v>0</v>
      </c>
      <c r="U99" s="20">
        <f>H99*'1-Data Input'!$D$8</f>
        <v>0</v>
      </c>
      <c r="V99" s="20">
        <f>I99*'1-Data Input'!$D$9</f>
        <v>0</v>
      </c>
      <c r="W99" s="20">
        <f>J99*'1-Data Input'!$D$10</f>
        <v>0</v>
      </c>
      <c r="X99" s="20">
        <f>K99*'1-Data Input'!$D$11</f>
        <v>0</v>
      </c>
      <c r="Y99" s="20">
        <f>L99*'1-Data Input'!$D$12</f>
        <v>0</v>
      </c>
      <c r="Z99" s="21">
        <f>M99*'1-Data Input'!$D$13</f>
        <v>0</v>
      </c>
    </row>
    <row r="100" spans="1:26" x14ac:dyDescent="0.25">
      <c r="A100" s="32">
        <v>0.625</v>
      </c>
      <c r="B100" s="42">
        <v>4.667407434503091E-2</v>
      </c>
      <c r="C100" s="42">
        <v>4.6018557413464445E-2</v>
      </c>
      <c r="D100" s="42">
        <v>4.6106826450668686E-2</v>
      </c>
      <c r="E100" s="42">
        <v>4.6140080695601979E-2</v>
      </c>
      <c r="F100" s="42">
        <v>4.8475559856013269E-2</v>
      </c>
      <c r="G100" s="42">
        <v>4.7164672944769663E-2</v>
      </c>
      <c r="H100" s="42">
        <v>4.6962844109245554E-2</v>
      </c>
      <c r="I100" s="42">
        <v>4.6272429557035907E-2</v>
      </c>
      <c r="J100" s="42">
        <v>4.6845963096869274E-2</v>
      </c>
      <c r="K100" s="42">
        <v>4.6131067585352632E-2</v>
      </c>
      <c r="L100" s="42">
        <v>4.6082706119367954E-2</v>
      </c>
      <c r="M100" s="42">
        <v>4.6363459438070929E-2</v>
      </c>
      <c r="N100" s="32">
        <v>0.625</v>
      </c>
      <c r="O100" s="20">
        <f>B100*'1-Data Input'!$D$2</f>
        <v>0</v>
      </c>
      <c r="P100" s="20">
        <f>C100*'1-Data Input'!$D$3</f>
        <v>0</v>
      </c>
      <c r="Q100" s="20">
        <f>D100*'1-Data Input'!$D$4</f>
        <v>0</v>
      </c>
      <c r="R100" s="20">
        <f>E100*'1-Data Input'!$D$5</f>
        <v>0</v>
      </c>
      <c r="S100" s="20">
        <f>F100*'1-Data Input'!$D$6</f>
        <v>0</v>
      </c>
      <c r="T100" s="20">
        <f>G100*'1-Data Input'!$D$7</f>
        <v>0</v>
      </c>
      <c r="U100" s="20">
        <f>H100*'1-Data Input'!$D$8</f>
        <v>0</v>
      </c>
      <c r="V100" s="20">
        <f>I100*'1-Data Input'!$D$9</f>
        <v>0</v>
      </c>
      <c r="W100" s="20">
        <f>J100*'1-Data Input'!$D$10</f>
        <v>0</v>
      </c>
      <c r="X100" s="20">
        <f>K100*'1-Data Input'!$D$11</f>
        <v>0</v>
      </c>
      <c r="Y100" s="20">
        <f>L100*'1-Data Input'!$D$12</f>
        <v>0</v>
      </c>
      <c r="Z100" s="21">
        <f>M100*'1-Data Input'!$D$13</f>
        <v>0</v>
      </c>
    </row>
    <row r="101" spans="1:26" x14ac:dyDescent="0.25">
      <c r="A101" s="32">
        <v>0.66666666666666696</v>
      </c>
      <c r="B101" s="42">
        <v>4.2629462955986699E-2</v>
      </c>
      <c r="C101" s="42">
        <v>4.2954334334343543E-2</v>
      </c>
      <c r="D101" s="42">
        <v>4.3148494359437357E-2</v>
      </c>
      <c r="E101" s="42">
        <v>4.1960493603849729E-2</v>
      </c>
      <c r="F101" s="42">
        <v>4.4147915390828837E-2</v>
      </c>
      <c r="G101" s="42">
        <v>4.4359378976838892E-2</v>
      </c>
      <c r="H101" s="42">
        <v>4.4610394601868358E-2</v>
      </c>
      <c r="I101" s="42">
        <v>4.4430969040745429E-2</v>
      </c>
      <c r="J101" s="42">
        <v>4.5584725628876638E-2</v>
      </c>
      <c r="K101" s="42">
        <v>4.3319656266935035E-2</v>
      </c>
      <c r="L101" s="42">
        <v>4.305696515690622E-2</v>
      </c>
      <c r="M101" s="42">
        <v>4.3361526771831881E-2</v>
      </c>
      <c r="N101" s="32">
        <v>0.66666666666666696</v>
      </c>
      <c r="O101" s="20">
        <f>B101*'1-Data Input'!$D$2</f>
        <v>0</v>
      </c>
      <c r="P101" s="20">
        <f>C101*'1-Data Input'!$D$3</f>
        <v>0</v>
      </c>
      <c r="Q101" s="20">
        <f>D101*'1-Data Input'!$D$4</f>
        <v>0</v>
      </c>
      <c r="R101" s="20">
        <f>E101*'1-Data Input'!$D$5</f>
        <v>0</v>
      </c>
      <c r="S101" s="20">
        <f>F101*'1-Data Input'!$D$6</f>
        <v>0</v>
      </c>
      <c r="T101" s="20">
        <f>G101*'1-Data Input'!$D$7</f>
        <v>0</v>
      </c>
      <c r="U101" s="20">
        <f>H101*'1-Data Input'!$D$8</f>
        <v>0</v>
      </c>
      <c r="V101" s="20">
        <f>I101*'1-Data Input'!$D$9</f>
        <v>0</v>
      </c>
      <c r="W101" s="20">
        <f>J101*'1-Data Input'!$D$10</f>
        <v>0</v>
      </c>
      <c r="X101" s="20">
        <f>K101*'1-Data Input'!$D$11</f>
        <v>0</v>
      </c>
      <c r="Y101" s="20">
        <f>L101*'1-Data Input'!$D$12</f>
        <v>0</v>
      </c>
      <c r="Z101" s="21">
        <f>M101*'1-Data Input'!$D$13</f>
        <v>0</v>
      </c>
    </row>
    <row r="102" spans="1:26" x14ac:dyDescent="0.25">
      <c r="A102" s="32">
        <v>0.70833333333333304</v>
      </c>
      <c r="B102" s="42">
        <v>3.9752534770403927E-2</v>
      </c>
      <c r="C102" s="42">
        <v>3.8583445557819722E-2</v>
      </c>
      <c r="D102" s="42">
        <v>3.6463383069463555E-2</v>
      </c>
      <c r="E102" s="42">
        <v>3.7924189220567471E-2</v>
      </c>
      <c r="F102" s="42">
        <v>3.9029125141137003E-2</v>
      </c>
      <c r="G102" s="42">
        <v>3.9725120895902265E-2</v>
      </c>
      <c r="H102" s="42">
        <v>4.0581410656839255E-2</v>
      </c>
      <c r="I102" s="42">
        <v>4.0499024877847602E-2</v>
      </c>
      <c r="J102" s="42">
        <v>4.1764053885177337E-2</v>
      </c>
      <c r="K102" s="42">
        <v>4.0667337617093742E-2</v>
      </c>
      <c r="L102" s="42">
        <v>3.8857150576946789E-2</v>
      </c>
      <c r="M102" s="42">
        <v>3.8296362998745517E-2</v>
      </c>
      <c r="N102" s="32">
        <v>0.70833333333333304</v>
      </c>
      <c r="O102" s="20">
        <f>B102*'1-Data Input'!$D$2</f>
        <v>0</v>
      </c>
      <c r="P102" s="20">
        <f>C102*'1-Data Input'!$D$3</f>
        <v>0</v>
      </c>
      <c r="Q102" s="20">
        <f>D102*'1-Data Input'!$D$4</f>
        <v>0</v>
      </c>
      <c r="R102" s="20">
        <f>E102*'1-Data Input'!$D$5</f>
        <v>0</v>
      </c>
      <c r="S102" s="20">
        <f>F102*'1-Data Input'!$D$6</f>
        <v>0</v>
      </c>
      <c r="T102" s="20">
        <f>G102*'1-Data Input'!$D$7</f>
        <v>0</v>
      </c>
      <c r="U102" s="20">
        <f>H102*'1-Data Input'!$D$8</f>
        <v>0</v>
      </c>
      <c r="V102" s="20">
        <f>I102*'1-Data Input'!$D$9</f>
        <v>0</v>
      </c>
      <c r="W102" s="20">
        <f>J102*'1-Data Input'!$D$10</f>
        <v>0</v>
      </c>
      <c r="X102" s="20">
        <f>K102*'1-Data Input'!$D$11</f>
        <v>0</v>
      </c>
      <c r="Y102" s="20">
        <f>L102*'1-Data Input'!$D$12</f>
        <v>0</v>
      </c>
      <c r="Z102" s="21">
        <f>M102*'1-Data Input'!$D$13</f>
        <v>0</v>
      </c>
    </row>
    <row r="103" spans="1:26" x14ac:dyDescent="0.25">
      <c r="A103" s="32">
        <v>0.75</v>
      </c>
      <c r="B103" s="42">
        <v>3.7417643417672869E-2</v>
      </c>
      <c r="C103" s="42">
        <v>3.7488422895911644E-2</v>
      </c>
      <c r="D103" s="42">
        <v>3.8043810002399037E-2</v>
      </c>
      <c r="E103" s="42">
        <v>3.7687925180005251E-2</v>
      </c>
      <c r="F103" s="42">
        <v>3.5700591068626733E-2</v>
      </c>
      <c r="G103" s="42">
        <v>3.7398829218630698E-2</v>
      </c>
      <c r="H103" s="42">
        <v>3.8268720859445896E-2</v>
      </c>
      <c r="I103" s="42">
        <v>3.8264369945267336E-2</v>
      </c>
      <c r="J103" s="42">
        <v>3.8801531810634206E-2</v>
      </c>
      <c r="K103" s="42">
        <v>3.831578539908647E-2</v>
      </c>
      <c r="L103" s="42">
        <v>3.8964805655142369E-2</v>
      </c>
      <c r="M103" s="42">
        <v>3.7321493575905113E-2</v>
      </c>
      <c r="N103" s="32">
        <v>0.75</v>
      </c>
      <c r="O103" s="20">
        <f>B103*'1-Data Input'!$D$2</f>
        <v>0</v>
      </c>
      <c r="P103" s="20">
        <f>C103*'1-Data Input'!$D$3</f>
        <v>0</v>
      </c>
      <c r="Q103" s="20">
        <f>D103*'1-Data Input'!$D$4</f>
        <v>0</v>
      </c>
      <c r="R103" s="20">
        <f>E103*'1-Data Input'!$D$5</f>
        <v>0</v>
      </c>
      <c r="S103" s="20">
        <f>F103*'1-Data Input'!$D$6</f>
        <v>0</v>
      </c>
      <c r="T103" s="20">
        <f>G103*'1-Data Input'!$D$7</f>
        <v>0</v>
      </c>
      <c r="U103" s="20">
        <f>H103*'1-Data Input'!$D$8</f>
        <v>0</v>
      </c>
      <c r="V103" s="20">
        <f>I103*'1-Data Input'!$D$9</f>
        <v>0</v>
      </c>
      <c r="W103" s="20">
        <f>J103*'1-Data Input'!$D$10</f>
        <v>0</v>
      </c>
      <c r="X103" s="20">
        <f>K103*'1-Data Input'!$D$11</f>
        <v>0</v>
      </c>
      <c r="Y103" s="20">
        <f>L103*'1-Data Input'!$D$12</f>
        <v>0</v>
      </c>
      <c r="Z103" s="21">
        <f>M103*'1-Data Input'!$D$13</f>
        <v>0</v>
      </c>
    </row>
    <row r="104" spans="1:26" x14ac:dyDescent="0.25">
      <c r="A104" s="32">
        <v>0.79166666666666696</v>
      </c>
      <c r="B104" s="42">
        <v>3.7470374432963437E-2</v>
      </c>
      <c r="C104" s="42">
        <v>3.6980479610724037E-2</v>
      </c>
      <c r="D104" s="42">
        <v>3.6272217656018665E-2</v>
      </c>
      <c r="E104" s="42">
        <v>3.6204796718927588E-2</v>
      </c>
      <c r="F104" s="42">
        <v>3.4508920853575938E-2</v>
      </c>
      <c r="G104" s="42">
        <v>3.5648765589208452E-2</v>
      </c>
      <c r="H104" s="42">
        <v>3.7140870419570975E-2</v>
      </c>
      <c r="I104" s="42">
        <v>3.7631326935040788E-2</v>
      </c>
      <c r="J104" s="42">
        <v>3.7717006185684493E-2</v>
      </c>
      <c r="K104" s="42">
        <v>3.8080049547108454E-2</v>
      </c>
      <c r="L104" s="42">
        <v>3.6359552762809264E-2</v>
      </c>
      <c r="M104" s="42">
        <v>3.6023191994868614E-2</v>
      </c>
      <c r="N104" s="32">
        <v>0.79166666666666696</v>
      </c>
      <c r="O104" s="20">
        <f>B104*'1-Data Input'!$D$2</f>
        <v>0</v>
      </c>
      <c r="P104" s="20">
        <f>C104*'1-Data Input'!$D$3</f>
        <v>0</v>
      </c>
      <c r="Q104" s="20">
        <f>D104*'1-Data Input'!$D$4</f>
        <v>0</v>
      </c>
      <c r="R104" s="20">
        <f>E104*'1-Data Input'!$D$5</f>
        <v>0</v>
      </c>
      <c r="S104" s="20">
        <f>F104*'1-Data Input'!$D$6</f>
        <v>0</v>
      </c>
      <c r="T104" s="20">
        <f>G104*'1-Data Input'!$D$7</f>
        <v>0</v>
      </c>
      <c r="U104" s="20">
        <f>H104*'1-Data Input'!$D$8</f>
        <v>0</v>
      </c>
      <c r="V104" s="20">
        <f>I104*'1-Data Input'!$D$9</f>
        <v>0</v>
      </c>
      <c r="W104" s="20">
        <f>J104*'1-Data Input'!$D$10</f>
        <v>0</v>
      </c>
      <c r="X104" s="20">
        <f>K104*'1-Data Input'!$D$11</f>
        <v>0</v>
      </c>
      <c r="Y104" s="20">
        <f>L104*'1-Data Input'!$D$12</f>
        <v>0</v>
      </c>
      <c r="Z104" s="21">
        <f>M104*'1-Data Input'!$D$13</f>
        <v>0</v>
      </c>
    </row>
    <row r="105" spans="1:26" x14ac:dyDescent="0.25">
      <c r="A105" s="32">
        <v>0.83333333333333304</v>
      </c>
      <c r="B105" s="42">
        <v>3.3975875798031657E-2</v>
      </c>
      <c r="C105" s="42">
        <v>3.5896499194146128E-2</v>
      </c>
      <c r="D105" s="42">
        <v>3.5062765188778218E-2</v>
      </c>
      <c r="E105" s="42">
        <v>3.6196667203553412E-2</v>
      </c>
      <c r="F105" s="42">
        <v>3.3175306540887531E-2</v>
      </c>
      <c r="G105" s="42">
        <v>3.5713922117587171E-2</v>
      </c>
      <c r="H105" s="42">
        <v>3.57837389854559E-2</v>
      </c>
      <c r="I105" s="42">
        <v>3.521274439217386E-2</v>
      </c>
      <c r="J105" s="42">
        <v>3.6366450313365148E-2</v>
      </c>
      <c r="K105" s="42">
        <v>3.7044205310830684E-2</v>
      </c>
      <c r="L105" s="42">
        <v>3.6577395979863855E-2</v>
      </c>
      <c r="M105" s="42">
        <v>3.5718883074817791E-2</v>
      </c>
      <c r="N105" s="32">
        <v>0.83333333333333304</v>
      </c>
      <c r="O105" s="20">
        <f>B105*'1-Data Input'!$D$2</f>
        <v>0</v>
      </c>
      <c r="P105" s="20">
        <f>C105*'1-Data Input'!$D$3</f>
        <v>0</v>
      </c>
      <c r="Q105" s="20">
        <f>D105*'1-Data Input'!$D$4</f>
        <v>0</v>
      </c>
      <c r="R105" s="20">
        <f>E105*'1-Data Input'!$D$5</f>
        <v>0</v>
      </c>
      <c r="S105" s="20">
        <f>F105*'1-Data Input'!$D$6</f>
        <v>0</v>
      </c>
      <c r="T105" s="20">
        <f>G105*'1-Data Input'!$D$7</f>
        <v>0</v>
      </c>
      <c r="U105" s="20">
        <f>H105*'1-Data Input'!$D$8</f>
        <v>0</v>
      </c>
      <c r="V105" s="20">
        <f>I105*'1-Data Input'!$D$9</f>
        <v>0</v>
      </c>
      <c r="W105" s="20">
        <f>J105*'1-Data Input'!$D$10</f>
        <v>0</v>
      </c>
      <c r="X105" s="20">
        <f>K105*'1-Data Input'!$D$11</f>
        <v>0</v>
      </c>
      <c r="Y105" s="20">
        <f>L105*'1-Data Input'!$D$12</f>
        <v>0</v>
      </c>
      <c r="Z105" s="21">
        <f>M105*'1-Data Input'!$D$13</f>
        <v>0</v>
      </c>
    </row>
    <row r="106" spans="1:26" x14ac:dyDescent="0.25">
      <c r="A106" s="32">
        <v>0.875</v>
      </c>
      <c r="B106" s="42">
        <v>3.6013858280883389E-2</v>
      </c>
      <c r="C106" s="42">
        <v>3.4603636303405932E-2</v>
      </c>
      <c r="D106" s="42">
        <v>3.3217356494631999E-2</v>
      </c>
      <c r="E106" s="42">
        <v>3.569111296622135E-2</v>
      </c>
      <c r="F106" s="42">
        <v>3.3422883455371769E-2</v>
      </c>
      <c r="G106" s="42">
        <v>3.3588699414609312E-2</v>
      </c>
      <c r="H106" s="42">
        <v>3.5008424640771023E-2</v>
      </c>
      <c r="I106" s="42">
        <v>3.5164687296849552E-2</v>
      </c>
      <c r="J106" s="42">
        <v>3.6855391578429451E-2</v>
      </c>
      <c r="K106" s="42">
        <v>3.5627467678253456E-2</v>
      </c>
      <c r="L106" s="42">
        <v>3.5196877918296975E-2</v>
      </c>
      <c r="M106" s="42">
        <v>3.3698471392513155E-2</v>
      </c>
      <c r="N106" s="32">
        <v>0.875</v>
      </c>
      <c r="O106" s="20">
        <f>B106*'1-Data Input'!$D$2</f>
        <v>0</v>
      </c>
      <c r="P106" s="20">
        <f>C106*'1-Data Input'!$D$3</f>
        <v>0</v>
      </c>
      <c r="Q106" s="20">
        <f>D106*'1-Data Input'!$D$4</f>
        <v>0</v>
      </c>
      <c r="R106" s="20">
        <f>E106*'1-Data Input'!$D$5</f>
        <v>0</v>
      </c>
      <c r="S106" s="20">
        <f>F106*'1-Data Input'!$D$6</f>
        <v>0</v>
      </c>
      <c r="T106" s="20">
        <f>G106*'1-Data Input'!$D$7</f>
        <v>0</v>
      </c>
      <c r="U106" s="20">
        <f>H106*'1-Data Input'!$D$8</f>
        <v>0</v>
      </c>
      <c r="V106" s="20">
        <f>I106*'1-Data Input'!$D$9</f>
        <v>0</v>
      </c>
      <c r="W106" s="20">
        <f>J106*'1-Data Input'!$D$10</f>
        <v>0</v>
      </c>
      <c r="X106" s="20">
        <f>K106*'1-Data Input'!$D$11</f>
        <v>0</v>
      </c>
      <c r="Y106" s="20">
        <f>L106*'1-Data Input'!$D$12</f>
        <v>0</v>
      </c>
      <c r="Z106" s="21">
        <f>M106*'1-Data Input'!$D$13</f>
        <v>0</v>
      </c>
    </row>
    <row r="107" spans="1:26" x14ac:dyDescent="0.25">
      <c r="A107" s="32">
        <v>0.91666666666666696</v>
      </c>
      <c r="B107" s="42">
        <v>3.2242878106319976E-2</v>
      </c>
      <c r="C107" s="42">
        <v>3.2872764347902497E-2</v>
      </c>
      <c r="D107" s="42">
        <v>3.3421770996137426E-2</v>
      </c>
      <c r="E107" s="42">
        <v>3.2022161058910023E-2</v>
      </c>
      <c r="F107" s="42">
        <v>3.1168283020801994E-2</v>
      </c>
      <c r="G107" s="42">
        <v>3.304046831254772E-2</v>
      </c>
      <c r="H107" s="42">
        <v>3.3551893931696358E-2</v>
      </c>
      <c r="I107" s="42">
        <v>3.3909086460830844E-2</v>
      </c>
      <c r="J107" s="42">
        <v>3.4473824125132002E-2</v>
      </c>
      <c r="K107" s="42">
        <v>3.5056127583804282E-2</v>
      </c>
      <c r="L107" s="42">
        <v>3.4545881327796631E-2</v>
      </c>
      <c r="M107" s="42">
        <v>3.3334298422616267E-2</v>
      </c>
      <c r="N107" s="32">
        <v>0.91666666666666696</v>
      </c>
      <c r="O107" s="20">
        <f>B107*'1-Data Input'!$D$2</f>
        <v>0</v>
      </c>
      <c r="P107" s="20">
        <f>C107*'1-Data Input'!$D$3</f>
        <v>0</v>
      </c>
      <c r="Q107" s="20">
        <f>D107*'1-Data Input'!$D$4</f>
        <v>0</v>
      </c>
      <c r="R107" s="20">
        <f>E107*'1-Data Input'!$D$5</f>
        <v>0</v>
      </c>
      <c r="S107" s="20">
        <f>F107*'1-Data Input'!$D$6</f>
        <v>0</v>
      </c>
      <c r="T107" s="20">
        <f>G107*'1-Data Input'!$D$7</f>
        <v>0</v>
      </c>
      <c r="U107" s="20">
        <f>H107*'1-Data Input'!$D$8</f>
        <v>0</v>
      </c>
      <c r="V107" s="20">
        <f>I107*'1-Data Input'!$D$9</f>
        <v>0</v>
      </c>
      <c r="W107" s="20">
        <f>J107*'1-Data Input'!$D$10</f>
        <v>0</v>
      </c>
      <c r="X107" s="20">
        <f>K107*'1-Data Input'!$D$11</f>
        <v>0</v>
      </c>
      <c r="Y107" s="20">
        <f>L107*'1-Data Input'!$D$12</f>
        <v>0</v>
      </c>
      <c r="Z107" s="21">
        <f>M107*'1-Data Input'!$D$13</f>
        <v>0</v>
      </c>
    </row>
    <row r="108" spans="1:26" x14ac:dyDescent="0.25">
      <c r="A108" s="32">
        <v>0.95833333333333304</v>
      </c>
      <c r="B108" s="43">
        <v>3.2854747905367306E-2</v>
      </c>
      <c r="C108" s="43">
        <v>3.317274534603866E-2</v>
      </c>
      <c r="D108" s="43">
        <v>3.2876665658789613E-2</v>
      </c>
      <c r="E108" s="43">
        <v>3.2365633083469285E-2</v>
      </c>
      <c r="F108" s="43">
        <v>3.2229012556636676E-2</v>
      </c>
      <c r="G108" s="43">
        <v>3.3128022397556633E-2</v>
      </c>
      <c r="H108" s="43">
        <v>3.2912204375511914E-2</v>
      </c>
      <c r="I108" s="43">
        <v>3.3430263038326843E-2</v>
      </c>
      <c r="J108" s="43">
        <v>3.4988174936254765E-2</v>
      </c>
      <c r="K108" s="43">
        <v>3.3436556475961901E-2</v>
      </c>
      <c r="L108" s="43">
        <v>3.3394183079492511E-2</v>
      </c>
      <c r="M108" s="43">
        <v>3.1927493251233778E-2</v>
      </c>
      <c r="N108" s="32">
        <v>0.95833333333333304</v>
      </c>
      <c r="O108" s="26">
        <f>B108*'1-Data Input'!$D$2</f>
        <v>0</v>
      </c>
      <c r="P108" s="26">
        <f>C108*'1-Data Input'!$D$3</f>
        <v>0</v>
      </c>
      <c r="Q108" s="26">
        <f>D108*'1-Data Input'!$D$4</f>
        <v>0</v>
      </c>
      <c r="R108" s="26">
        <f>E108*'1-Data Input'!$D$5</f>
        <v>0</v>
      </c>
      <c r="S108" s="26">
        <f>F108*'1-Data Input'!$D$6</f>
        <v>0</v>
      </c>
      <c r="T108" s="26">
        <f>G108*'1-Data Input'!$D$7</f>
        <v>0</v>
      </c>
      <c r="U108" s="26">
        <f>H108*'1-Data Input'!$D$8</f>
        <v>0</v>
      </c>
      <c r="V108" s="26">
        <f>I108*'1-Data Input'!$D$9</f>
        <v>0</v>
      </c>
      <c r="W108" s="26">
        <f>J108*'1-Data Input'!$D$10</f>
        <v>0</v>
      </c>
      <c r="X108" s="26">
        <f>K108*'1-Data Input'!$D$11</f>
        <v>0</v>
      </c>
      <c r="Y108" s="26">
        <f>L108*'1-Data Input'!$D$12</f>
        <v>0</v>
      </c>
      <c r="Z108" s="27">
        <f>M108*'1-Data Input'!$D$13</f>
        <v>0</v>
      </c>
    </row>
    <row r="109" spans="1:26" ht="20.25" x14ac:dyDescent="0.25">
      <c r="A109" s="65" t="s">
        <v>33</v>
      </c>
      <c r="B109" s="65"/>
      <c r="C109" s="65"/>
      <c r="D109" s="65"/>
      <c r="E109" s="65"/>
      <c r="F109" s="65"/>
      <c r="G109" s="66" t="s">
        <v>51</v>
      </c>
      <c r="H109" s="66"/>
      <c r="I109" s="66"/>
      <c r="J109" s="66"/>
      <c r="K109" s="66"/>
      <c r="L109" s="66"/>
      <c r="M109" s="66"/>
      <c r="N109" s="66"/>
      <c r="O109" s="66"/>
      <c r="P109" s="66"/>
      <c r="Q109" s="66"/>
      <c r="R109" s="66"/>
      <c r="S109" s="66"/>
      <c r="T109" s="66"/>
      <c r="U109" s="66"/>
      <c r="V109" s="66"/>
      <c r="W109" s="66"/>
      <c r="X109" s="66"/>
      <c r="Y109" s="66"/>
      <c r="Z109" s="66"/>
    </row>
    <row r="110" spans="1:26" ht="33.75" x14ac:dyDescent="0.5">
      <c r="A110" s="67" t="s">
        <v>15</v>
      </c>
      <c r="B110" s="67"/>
      <c r="C110" s="67"/>
      <c r="D110" s="67"/>
      <c r="E110" s="67"/>
      <c r="F110" s="67"/>
      <c r="G110" s="67"/>
      <c r="H110" s="67"/>
      <c r="I110" s="67"/>
      <c r="J110" s="67"/>
      <c r="K110" s="67"/>
      <c r="L110" s="67"/>
      <c r="M110" s="68"/>
      <c r="N110" s="69" t="s">
        <v>27</v>
      </c>
      <c r="O110" s="69"/>
      <c r="P110" s="69"/>
      <c r="Q110" s="69"/>
      <c r="R110" s="69"/>
      <c r="S110" s="69"/>
      <c r="T110" s="69"/>
      <c r="U110" s="69"/>
      <c r="V110" s="69"/>
      <c r="W110" s="69"/>
      <c r="X110" s="69"/>
      <c r="Y110" s="69"/>
      <c r="Z110" s="69"/>
    </row>
    <row r="111" spans="1:26" ht="46.5" x14ac:dyDescent="0.25">
      <c r="A111" s="28" t="s">
        <v>30</v>
      </c>
      <c r="B111" s="29" t="s">
        <v>16</v>
      </c>
      <c r="C111" s="29" t="s">
        <v>17</v>
      </c>
      <c r="D111" s="29" t="s">
        <v>18</v>
      </c>
      <c r="E111" s="29" t="s">
        <v>19</v>
      </c>
      <c r="F111" s="29" t="s">
        <v>4</v>
      </c>
      <c r="G111" s="29" t="s">
        <v>20</v>
      </c>
      <c r="H111" s="29" t="s">
        <v>21</v>
      </c>
      <c r="I111" s="29" t="s">
        <v>22</v>
      </c>
      <c r="J111" s="29" t="s">
        <v>23</v>
      </c>
      <c r="K111" s="29" t="s">
        <v>24</v>
      </c>
      <c r="L111" s="29" t="s">
        <v>25</v>
      </c>
      <c r="M111" s="30" t="s">
        <v>26</v>
      </c>
      <c r="N111" s="40" t="s">
        <v>30</v>
      </c>
      <c r="O111" s="40" t="s">
        <v>16</v>
      </c>
      <c r="P111" s="40" t="s">
        <v>17</v>
      </c>
      <c r="Q111" s="40" t="s">
        <v>18</v>
      </c>
      <c r="R111" s="40" t="s">
        <v>19</v>
      </c>
      <c r="S111" s="40" t="s">
        <v>4</v>
      </c>
      <c r="T111" s="40" t="s">
        <v>20</v>
      </c>
      <c r="U111" s="40" t="s">
        <v>21</v>
      </c>
      <c r="V111" s="40" t="s">
        <v>22</v>
      </c>
      <c r="W111" s="40" t="s">
        <v>23</v>
      </c>
      <c r="X111" s="40" t="s">
        <v>24</v>
      </c>
      <c r="Y111" s="40" t="s">
        <v>25</v>
      </c>
      <c r="Z111" s="40" t="s">
        <v>26</v>
      </c>
    </row>
    <row r="112" spans="1:26" x14ac:dyDescent="0.25">
      <c r="A112" s="32">
        <v>0</v>
      </c>
      <c r="B112" s="42">
        <v>3.1716993115989703E-2</v>
      </c>
      <c r="C112" s="42">
        <v>3.2898989680561638E-2</v>
      </c>
      <c r="D112" s="42">
        <v>3.2635342983401261E-2</v>
      </c>
      <c r="E112" s="42">
        <v>3.4075371785602319E-2</v>
      </c>
      <c r="F112" s="42">
        <v>3.1788875819775818E-2</v>
      </c>
      <c r="G112" s="42">
        <v>3.2336472384830742E-2</v>
      </c>
      <c r="H112" s="42">
        <v>3.2914413248288789E-2</v>
      </c>
      <c r="I112" s="42">
        <v>3.2523731467436513E-2</v>
      </c>
      <c r="J112" s="42">
        <v>3.3621449352807316E-2</v>
      </c>
      <c r="K112" s="42">
        <v>3.3560424247116194E-2</v>
      </c>
      <c r="L112" s="42">
        <v>3.3132433477605215E-2</v>
      </c>
      <c r="M112" s="42">
        <v>3.2021030829118259E-2</v>
      </c>
      <c r="N112" s="32">
        <v>0</v>
      </c>
      <c r="O112" s="41">
        <f>B112*'1-Data Input'!$D$2</f>
        <v>0</v>
      </c>
      <c r="P112" s="41">
        <f>C112*'1-Data Input'!$D$3</f>
        <v>0</v>
      </c>
      <c r="Q112" s="41">
        <f>D112*'1-Data Input'!$D$4</f>
        <v>0</v>
      </c>
      <c r="R112" s="41">
        <f>E112*'1-Data Input'!$D$5</f>
        <v>0</v>
      </c>
      <c r="S112" s="41">
        <f>F112*'1-Data Input'!$D$6</f>
        <v>0</v>
      </c>
      <c r="T112" s="41">
        <f>G112*'1-Data Input'!$D$7</f>
        <v>0</v>
      </c>
      <c r="U112" s="41">
        <f>H112*'1-Data Input'!$D$8</f>
        <v>0</v>
      </c>
      <c r="V112" s="41">
        <f>I112*'1-Data Input'!$D$9</f>
        <v>0</v>
      </c>
      <c r="W112" s="41">
        <f>J112*'1-Data Input'!$D$10</f>
        <v>0</v>
      </c>
      <c r="X112" s="41">
        <f>K112*'1-Data Input'!$D$11</f>
        <v>0</v>
      </c>
      <c r="Y112" s="41">
        <f>L112*'1-Data Input'!$D$12</f>
        <v>0</v>
      </c>
      <c r="Z112" s="41">
        <f>M112*'1-Data Input'!$D$13</f>
        <v>0</v>
      </c>
    </row>
    <row r="113" spans="1:26" x14ac:dyDescent="0.25">
      <c r="A113" s="32">
        <v>4.1666666666666699E-2</v>
      </c>
      <c r="B113" s="42">
        <v>3.2567815173515917E-2</v>
      </c>
      <c r="C113" s="42">
        <v>3.3645721521014076E-2</v>
      </c>
      <c r="D113" s="42">
        <v>3.3495587343903267E-2</v>
      </c>
      <c r="E113" s="42">
        <v>3.2637971848504449E-2</v>
      </c>
      <c r="F113" s="42">
        <v>3.217470997221878E-2</v>
      </c>
      <c r="G113" s="42">
        <v>3.1574446424026473E-2</v>
      </c>
      <c r="H113" s="42">
        <v>3.2210666381574826E-2</v>
      </c>
      <c r="I113" s="42">
        <v>3.2110877330332244E-2</v>
      </c>
      <c r="J113" s="42">
        <v>3.3563700384492627E-2</v>
      </c>
      <c r="K113" s="42">
        <v>3.306804985677788E-2</v>
      </c>
      <c r="L113" s="42">
        <v>3.2605556859612715E-2</v>
      </c>
      <c r="M113" s="42">
        <v>3.2396939966906971E-2</v>
      </c>
      <c r="N113" s="32">
        <v>4.1666666666666699E-2</v>
      </c>
      <c r="O113" s="20">
        <f>B113*'1-Data Input'!$D$2</f>
        <v>0</v>
      </c>
      <c r="P113" s="20">
        <f>C113*'1-Data Input'!$D$3</f>
        <v>0</v>
      </c>
      <c r="Q113" s="20">
        <f>D113*'1-Data Input'!$D$4</f>
        <v>0</v>
      </c>
      <c r="R113" s="20">
        <f>E113*'1-Data Input'!$D$5</f>
        <v>0</v>
      </c>
      <c r="S113" s="20">
        <f>F113*'1-Data Input'!$D$6</f>
        <v>0</v>
      </c>
      <c r="T113" s="20">
        <f>G113*'1-Data Input'!$D$7</f>
        <v>0</v>
      </c>
      <c r="U113" s="20">
        <f>H113*'1-Data Input'!$D$8</f>
        <v>0</v>
      </c>
      <c r="V113" s="20">
        <f>I113*'1-Data Input'!$D$9</f>
        <v>0</v>
      </c>
      <c r="W113" s="20">
        <f>J113*'1-Data Input'!$D$10</f>
        <v>0</v>
      </c>
      <c r="X113" s="20">
        <f>K113*'1-Data Input'!$D$11</f>
        <v>0</v>
      </c>
      <c r="Y113" s="20">
        <f>L113*'1-Data Input'!$D$12</f>
        <v>0</v>
      </c>
      <c r="Z113" s="21">
        <f>M113*'1-Data Input'!$D$13</f>
        <v>0</v>
      </c>
    </row>
    <row r="114" spans="1:26" x14ac:dyDescent="0.25">
      <c r="A114" s="32">
        <v>8.3333333333333301E-2</v>
      </c>
      <c r="B114" s="42">
        <v>3.2911754408384133E-2</v>
      </c>
      <c r="C114" s="42">
        <v>3.224335636408307E-2</v>
      </c>
      <c r="D114" s="42">
        <v>3.210064764381531E-2</v>
      </c>
      <c r="E114" s="42">
        <v>3.2914375371226698E-2</v>
      </c>
      <c r="F114" s="42">
        <v>3.1324898343001652E-2</v>
      </c>
      <c r="G114" s="42">
        <v>3.1224230083990834E-2</v>
      </c>
      <c r="H114" s="42">
        <v>3.2099339193620076E-2</v>
      </c>
      <c r="I114" s="42">
        <v>3.2058451408160271E-2</v>
      </c>
      <c r="J114" s="42">
        <v>3.2462620055292712E-2</v>
      </c>
      <c r="K114" s="42">
        <v>3.3560424247116194E-2</v>
      </c>
      <c r="L114" s="42">
        <v>3.178146779044496E-2</v>
      </c>
      <c r="M114" s="42">
        <v>3.204935192908883E-2</v>
      </c>
      <c r="N114" s="32">
        <v>8.3333333333333301E-2</v>
      </c>
      <c r="O114" s="20">
        <f>B114*'1-Data Input'!$D$2</f>
        <v>0</v>
      </c>
      <c r="P114" s="20">
        <f>C114*'1-Data Input'!$D$3</f>
        <v>0</v>
      </c>
      <c r="Q114" s="20">
        <f>D114*'1-Data Input'!$D$4</f>
        <v>0</v>
      </c>
      <c r="R114" s="20">
        <f>E114*'1-Data Input'!$D$5</f>
        <v>0</v>
      </c>
      <c r="S114" s="20">
        <f>F114*'1-Data Input'!$D$6</f>
        <v>0</v>
      </c>
      <c r="T114" s="20">
        <f>G114*'1-Data Input'!$D$7</f>
        <v>0</v>
      </c>
      <c r="U114" s="20">
        <f>H114*'1-Data Input'!$D$8</f>
        <v>0</v>
      </c>
      <c r="V114" s="20">
        <f>I114*'1-Data Input'!$D$9</f>
        <v>0</v>
      </c>
      <c r="W114" s="20">
        <f>J114*'1-Data Input'!$D$10</f>
        <v>0</v>
      </c>
      <c r="X114" s="20">
        <f>K114*'1-Data Input'!$D$11</f>
        <v>0</v>
      </c>
      <c r="Y114" s="20">
        <f>L114*'1-Data Input'!$D$12</f>
        <v>0</v>
      </c>
      <c r="Z114" s="21">
        <f>M114*'1-Data Input'!$D$13</f>
        <v>0</v>
      </c>
    </row>
    <row r="115" spans="1:26" x14ac:dyDescent="0.25">
      <c r="A115" s="32">
        <v>0.125</v>
      </c>
      <c r="B115" s="42">
        <v>3.2572090661242184E-2</v>
      </c>
      <c r="C115" s="42">
        <v>3.3692651063667277E-2</v>
      </c>
      <c r="D115" s="42">
        <v>3.3203161043138564E-2</v>
      </c>
      <c r="E115" s="42">
        <v>3.3259879774629506E-2</v>
      </c>
      <c r="F115" s="42">
        <v>2.9766997684821224E-2</v>
      </c>
      <c r="G115" s="42">
        <v>3.1878340544667851E-2</v>
      </c>
      <c r="H115" s="42">
        <v>3.1708368712112314E-2</v>
      </c>
      <c r="I115" s="42">
        <v>3.135725469911016E-2</v>
      </c>
      <c r="J115" s="42">
        <v>3.1917854787524222E-2</v>
      </c>
      <c r="K115" s="42">
        <v>3.2596578152821853E-2</v>
      </c>
      <c r="L115" s="42">
        <v>3.3214757949166542E-2</v>
      </c>
      <c r="M115" s="42">
        <v>3.1809012319246779E-2</v>
      </c>
      <c r="N115" s="32">
        <v>0.125</v>
      </c>
      <c r="O115" s="20">
        <f>B115*'1-Data Input'!$D$2</f>
        <v>0</v>
      </c>
      <c r="P115" s="20">
        <f>C115*'1-Data Input'!$D$3</f>
        <v>0</v>
      </c>
      <c r="Q115" s="20">
        <f>D115*'1-Data Input'!$D$4</f>
        <v>0</v>
      </c>
      <c r="R115" s="20">
        <f>E115*'1-Data Input'!$D$5</f>
        <v>0</v>
      </c>
      <c r="S115" s="20">
        <f>F115*'1-Data Input'!$D$6</f>
        <v>0</v>
      </c>
      <c r="T115" s="20">
        <f>G115*'1-Data Input'!$D$7</f>
        <v>0</v>
      </c>
      <c r="U115" s="20">
        <f>H115*'1-Data Input'!$D$8</f>
        <v>0</v>
      </c>
      <c r="V115" s="20">
        <f>I115*'1-Data Input'!$D$9</f>
        <v>0</v>
      </c>
      <c r="W115" s="20">
        <f>J115*'1-Data Input'!$D$10</f>
        <v>0</v>
      </c>
      <c r="X115" s="20">
        <f>K115*'1-Data Input'!$D$11</f>
        <v>0</v>
      </c>
      <c r="Y115" s="20">
        <f>L115*'1-Data Input'!$D$12</f>
        <v>0</v>
      </c>
      <c r="Z115" s="21">
        <f>M115*'1-Data Input'!$D$13</f>
        <v>0</v>
      </c>
    </row>
    <row r="116" spans="1:26" x14ac:dyDescent="0.25">
      <c r="A116" s="32">
        <v>0.16666666666666699</v>
      </c>
      <c r="B116" s="42">
        <v>3.5024795453541362E-2</v>
      </c>
      <c r="C116" s="42">
        <v>3.5837607219051916E-2</v>
      </c>
      <c r="D116" s="42">
        <v>3.5426168747010087E-2</v>
      </c>
      <c r="E116" s="42">
        <v>3.5497528881373606E-2</v>
      </c>
      <c r="F116" s="42">
        <v>3.3512011144586094E-2</v>
      </c>
      <c r="G116" s="42">
        <v>3.4445405955713923E-2</v>
      </c>
      <c r="H116" s="42">
        <v>3.4230459648753889E-2</v>
      </c>
      <c r="I116" s="42">
        <v>3.2624651367617552E-2</v>
      </c>
      <c r="J116" s="42">
        <v>3.3457442282793612E-2</v>
      </c>
      <c r="K116" s="42">
        <v>3.3667260199736773E-2</v>
      </c>
      <c r="L116" s="42">
        <v>3.3319879966698697E-2</v>
      </c>
      <c r="M116" s="42">
        <v>3.3039966844206452E-2</v>
      </c>
      <c r="N116" s="32">
        <v>0.16666666666666699</v>
      </c>
      <c r="O116" s="20">
        <f>B116*'1-Data Input'!$D$2</f>
        <v>0</v>
      </c>
      <c r="P116" s="20">
        <f>C116*'1-Data Input'!$D$3</f>
        <v>0</v>
      </c>
      <c r="Q116" s="20">
        <f>D116*'1-Data Input'!$D$4</f>
        <v>0</v>
      </c>
      <c r="R116" s="20">
        <f>E116*'1-Data Input'!$D$5</f>
        <v>0</v>
      </c>
      <c r="S116" s="20">
        <f>F116*'1-Data Input'!$D$6</f>
        <v>0</v>
      </c>
      <c r="T116" s="20">
        <f>G116*'1-Data Input'!$D$7</f>
        <v>0</v>
      </c>
      <c r="U116" s="20">
        <f>H116*'1-Data Input'!$D$8</f>
        <v>0</v>
      </c>
      <c r="V116" s="20">
        <f>I116*'1-Data Input'!$D$9</f>
        <v>0</v>
      </c>
      <c r="W116" s="20">
        <f>J116*'1-Data Input'!$D$10</f>
        <v>0</v>
      </c>
      <c r="X116" s="20">
        <f>K116*'1-Data Input'!$D$11</f>
        <v>0</v>
      </c>
      <c r="Y116" s="20">
        <f>L116*'1-Data Input'!$D$12</f>
        <v>0</v>
      </c>
      <c r="Z116" s="21">
        <f>M116*'1-Data Input'!$D$13</f>
        <v>0</v>
      </c>
    </row>
    <row r="117" spans="1:26" x14ac:dyDescent="0.25">
      <c r="A117" s="32">
        <v>0.20833333333333301</v>
      </c>
      <c r="B117" s="42">
        <v>4.1358217938711354E-2</v>
      </c>
      <c r="C117" s="42">
        <v>4.2595461361113161E-2</v>
      </c>
      <c r="D117" s="42">
        <v>4.348539974154815E-2</v>
      </c>
      <c r="E117" s="42">
        <v>4.290351738725505E-2</v>
      </c>
      <c r="F117" s="42">
        <v>4.4387789912418006E-2</v>
      </c>
      <c r="G117" s="42">
        <v>4.7045049630949347E-2</v>
      </c>
      <c r="H117" s="42">
        <v>4.2604738120461325E-2</v>
      </c>
      <c r="I117" s="42">
        <v>4.3487302441649944E-2</v>
      </c>
      <c r="J117" s="42">
        <v>4.2310744118556322E-2</v>
      </c>
      <c r="K117" s="42">
        <v>4.2293102113493838E-2</v>
      </c>
      <c r="L117" s="42">
        <v>4.2437209647921456E-2</v>
      </c>
      <c r="M117" s="42">
        <v>4.2852682348140339E-2</v>
      </c>
      <c r="N117" s="32">
        <v>0.20833333333333301</v>
      </c>
      <c r="O117" s="20">
        <f>B117*'1-Data Input'!$D$2</f>
        <v>0</v>
      </c>
      <c r="P117" s="20">
        <f>C117*'1-Data Input'!$D$3</f>
        <v>0</v>
      </c>
      <c r="Q117" s="20">
        <f>D117*'1-Data Input'!$D$4</f>
        <v>0</v>
      </c>
      <c r="R117" s="20">
        <f>E117*'1-Data Input'!$D$5</f>
        <v>0</v>
      </c>
      <c r="S117" s="20">
        <f>F117*'1-Data Input'!$D$6</f>
        <v>0</v>
      </c>
      <c r="T117" s="20">
        <f>G117*'1-Data Input'!$D$7</f>
        <v>0</v>
      </c>
      <c r="U117" s="20">
        <f>H117*'1-Data Input'!$D$8</f>
        <v>0</v>
      </c>
      <c r="V117" s="20">
        <f>I117*'1-Data Input'!$D$9</f>
        <v>0</v>
      </c>
      <c r="W117" s="20">
        <f>J117*'1-Data Input'!$D$10</f>
        <v>0</v>
      </c>
      <c r="X117" s="20">
        <f>K117*'1-Data Input'!$D$11</f>
        <v>0</v>
      </c>
      <c r="Y117" s="20">
        <f>L117*'1-Data Input'!$D$12</f>
        <v>0</v>
      </c>
      <c r="Z117" s="21">
        <f>M117*'1-Data Input'!$D$13</f>
        <v>0</v>
      </c>
    </row>
    <row r="118" spans="1:26" x14ac:dyDescent="0.25">
      <c r="A118" s="32">
        <v>0.25</v>
      </c>
      <c r="B118" s="42">
        <v>5.0856926503890933E-2</v>
      </c>
      <c r="C118" s="42">
        <v>4.9828132052371521E-2</v>
      </c>
      <c r="D118" s="42">
        <v>4.7512176148518499E-2</v>
      </c>
      <c r="E118" s="42">
        <v>4.7290915215759878E-2</v>
      </c>
      <c r="F118" s="42">
        <v>5.3154763539765323E-2</v>
      </c>
      <c r="G118" s="42">
        <v>5.298294731483838E-2</v>
      </c>
      <c r="H118" s="42">
        <v>4.9494212311550032E-2</v>
      </c>
      <c r="I118" s="42">
        <v>5.105629495522826E-2</v>
      </c>
      <c r="J118" s="42">
        <v>4.8820977813231366E-2</v>
      </c>
      <c r="K118" s="42">
        <v>5.0607726252225746E-2</v>
      </c>
      <c r="L118" s="42">
        <v>5.0933517289827743E-2</v>
      </c>
      <c r="M118" s="42">
        <v>5.2680363864535736E-2</v>
      </c>
      <c r="N118" s="32">
        <v>0.25</v>
      </c>
      <c r="O118" s="20">
        <f>B118*'1-Data Input'!$D$2</f>
        <v>0</v>
      </c>
      <c r="P118" s="20">
        <f>C118*'1-Data Input'!$D$3</f>
        <v>0</v>
      </c>
      <c r="Q118" s="20">
        <f>D118*'1-Data Input'!$D$4</f>
        <v>0</v>
      </c>
      <c r="R118" s="20">
        <f>E118*'1-Data Input'!$D$5</f>
        <v>0</v>
      </c>
      <c r="S118" s="20">
        <f>F118*'1-Data Input'!$D$6</f>
        <v>0</v>
      </c>
      <c r="T118" s="20">
        <f>G118*'1-Data Input'!$D$7</f>
        <v>0</v>
      </c>
      <c r="U118" s="20">
        <f>H118*'1-Data Input'!$D$8</f>
        <v>0</v>
      </c>
      <c r="V118" s="20">
        <f>I118*'1-Data Input'!$D$9</f>
        <v>0</v>
      </c>
      <c r="W118" s="20">
        <f>J118*'1-Data Input'!$D$10</f>
        <v>0</v>
      </c>
      <c r="X118" s="20">
        <f>K118*'1-Data Input'!$D$11</f>
        <v>0</v>
      </c>
      <c r="Y118" s="20">
        <f>L118*'1-Data Input'!$D$12</f>
        <v>0</v>
      </c>
      <c r="Z118" s="21">
        <f>M118*'1-Data Input'!$D$13</f>
        <v>0</v>
      </c>
    </row>
    <row r="119" spans="1:26" x14ac:dyDescent="0.25">
      <c r="A119" s="32">
        <v>0.29166666666666702</v>
      </c>
      <c r="B119" s="42">
        <v>5.0114416802096697E-2</v>
      </c>
      <c r="C119" s="42">
        <v>4.9513428060461807E-2</v>
      </c>
      <c r="D119" s="42">
        <v>4.9723827491195284E-2</v>
      </c>
      <c r="E119" s="42">
        <v>5.0197725056741471E-2</v>
      </c>
      <c r="F119" s="42">
        <v>5.0334037227408264E-2</v>
      </c>
      <c r="G119" s="42">
        <v>4.9533214558411809E-2</v>
      </c>
      <c r="H119" s="42">
        <v>4.8718897966865148E-2</v>
      </c>
      <c r="I119" s="42">
        <v>4.8782320581019015E-2</v>
      </c>
      <c r="J119" s="42">
        <v>4.6915261858846889E-2</v>
      </c>
      <c r="K119" s="42">
        <v>4.9102732832701085E-2</v>
      </c>
      <c r="L119" s="42">
        <v>5.0433237808801205E-2</v>
      </c>
      <c r="M119" s="42">
        <v>5.0744759586179689E-2</v>
      </c>
      <c r="N119" s="32">
        <v>0.29166666666666702</v>
      </c>
      <c r="O119" s="20">
        <f>B119*'1-Data Input'!$D$2</f>
        <v>0</v>
      </c>
      <c r="P119" s="20">
        <f>C119*'1-Data Input'!$D$3</f>
        <v>0</v>
      </c>
      <c r="Q119" s="20">
        <f>D119*'1-Data Input'!$D$4</f>
        <v>0</v>
      </c>
      <c r="R119" s="20">
        <f>E119*'1-Data Input'!$D$5</f>
        <v>0</v>
      </c>
      <c r="S119" s="20">
        <f>F119*'1-Data Input'!$D$6</f>
        <v>0</v>
      </c>
      <c r="T119" s="20">
        <f>G119*'1-Data Input'!$D$7</f>
        <v>0</v>
      </c>
      <c r="U119" s="20">
        <f>H119*'1-Data Input'!$D$8</f>
        <v>0</v>
      </c>
      <c r="V119" s="20">
        <f>I119*'1-Data Input'!$D$9</f>
        <v>0</v>
      </c>
      <c r="W119" s="20">
        <f>J119*'1-Data Input'!$D$10</f>
        <v>0</v>
      </c>
      <c r="X119" s="20">
        <f>K119*'1-Data Input'!$D$11</f>
        <v>0</v>
      </c>
      <c r="Y119" s="20">
        <f>L119*'1-Data Input'!$D$12</f>
        <v>0</v>
      </c>
      <c r="Z119" s="21">
        <f>M119*'1-Data Input'!$D$13</f>
        <v>0</v>
      </c>
    </row>
    <row r="120" spans="1:26" x14ac:dyDescent="0.25">
      <c r="A120" s="32">
        <v>0.33333333333333298</v>
      </c>
      <c r="B120" s="42">
        <v>5.2417479523976691E-2</v>
      </c>
      <c r="C120" s="42">
        <v>5.1015173425364303E-2</v>
      </c>
      <c r="D120" s="42">
        <v>4.9097334898618457E-2</v>
      </c>
      <c r="E120" s="42">
        <v>5.0829794877084271E-2</v>
      </c>
      <c r="F120" s="42">
        <v>4.9922509378443357E-2</v>
      </c>
      <c r="G120" s="42">
        <v>4.9926189870195974E-2</v>
      </c>
      <c r="H120" s="42">
        <v>4.7181522514156679E-2</v>
      </c>
      <c r="I120" s="42">
        <v>4.7489147834110401E-2</v>
      </c>
      <c r="J120" s="42">
        <v>4.7816145764555923E-2</v>
      </c>
      <c r="K120" s="42">
        <v>4.9214213826739947E-2</v>
      </c>
      <c r="L120" s="42">
        <v>5.0011061031563629E-2</v>
      </c>
      <c r="M120" s="42">
        <v>5.0801297855478753E-2</v>
      </c>
      <c r="N120" s="32">
        <v>0.33333333333333298</v>
      </c>
      <c r="O120" s="20">
        <f>B120*'1-Data Input'!$D$2</f>
        <v>0</v>
      </c>
      <c r="P120" s="20">
        <f>C120*'1-Data Input'!$D$3</f>
        <v>0</v>
      </c>
      <c r="Q120" s="20">
        <f>D120*'1-Data Input'!$D$4</f>
        <v>0</v>
      </c>
      <c r="R120" s="20">
        <f>E120*'1-Data Input'!$D$5</f>
        <v>0</v>
      </c>
      <c r="S120" s="20">
        <f>F120*'1-Data Input'!$D$6</f>
        <v>0</v>
      </c>
      <c r="T120" s="20">
        <f>G120*'1-Data Input'!$D$7</f>
        <v>0</v>
      </c>
      <c r="U120" s="20">
        <f>H120*'1-Data Input'!$D$8</f>
        <v>0</v>
      </c>
      <c r="V120" s="20">
        <f>I120*'1-Data Input'!$D$9</f>
        <v>0</v>
      </c>
      <c r="W120" s="20">
        <f>J120*'1-Data Input'!$D$10</f>
        <v>0</v>
      </c>
      <c r="X120" s="20">
        <f>K120*'1-Data Input'!$D$11</f>
        <v>0</v>
      </c>
      <c r="Y120" s="20">
        <f>L120*'1-Data Input'!$D$12</f>
        <v>0</v>
      </c>
      <c r="Z120" s="21">
        <f>M120*'1-Data Input'!$D$13</f>
        <v>0</v>
      </c>
    </row>
    <row r="121" spans="1:26" x14ac:dyDescent="0.25">
      <c r="A121" s="32">
        <v>0.375</v>
      </c>
      <c r="B121" s="42">
        <v>4.8947208652827069E-2</v>
      </c>
      <c r="C121" s="42">
        <v>5.2050383925067313E-2</v>
      </c>
      <c r="D121" s="42">
        <v>5.2572854605927179E-2</v>
      </c>
      <c r="E121" s="42">
        <v>5.1513182263226591E-2</v>
      </c>
      <c r="F121" s="42">
        <v>5.2940196880545652E-2</v>
      </c>
      <c r="G121" s="42">
        <v>4.939424790022906E-2</v>
      </c>
      <c r="H121" s="42">
        <v>4.9626744678162832E-2</v>
      </c>
      <c r="I121" s="42">
        <v>4.9024790471064388E-2</v>
      </c>
      <c r="J121" s="42">
        <v>4.841096013819713E-2</v>
      </c>
      <c r="K121" s="42">
        <v>4.8354881164357037E-2</v>
      </c>
      <c r="L121" s="42">
        <v>4.9806305294603406E-2</v>
      </c>
      <c r="M121" s="42">
        <v>5.2144081751331423E-2</v>
      </c>
      <c r="N121" s="32">
        <v>0.375</v>
      </c>
      <c r="O121" s="20">
        <f>B121*'1-Data Input'!$D$2</f>
        <v>0</v>
      </c>
      <c r="P121" s="20">
        <f>C121*'1-Data Input'!$D$3</f>
        <v>0</v>
      </c>
      <c r="Q121" s="20">
        <f>D121*'1-Data Input'!$D$4</f>
        <v>0</v>
      </c>
      <c r="R121" s="20">
        <f>E121*'1-Data Input'!$D$5</f>
        <v>0</v>
      </c>
      <c r="S121" s="20">
        <f>F121*'1-Data Input'!$D$6</f>
        <v>0</v>
      </c>
      <c r="T121" s="20">
        <f>G121*'1-Data Input'!$D$7</f>
        <v>0</v>
      </c>
      <c r="U121" s="20">
        <f>H121*'1-Data Input'!$D$8</f>
        <v>0</v>
      </c>
      <c r="V121" s="20">
        <f>I121*'1-Data Input'!$D$9</f>
        <v>0</v>
      </c>
      <c r="W121" s="20">
        <f>J121*'1-Data Input'!$D$10</f>
        <v>0</v>
      </c>
      <c r="X121" s="20">
        <f>K121*'1-Data Input'!$D$11</f>
        <v>0</v>
      </c>
      <c r="Y121" s="20">
        <f>L121*'1-Data Input'!$D$12</f>
        <v>0</v>
      </c>
      <c r="Z121" s="21">
        <f>M121*'1-Data Input'!$D$13</f>
        <v>0</v>
      </c>
    </row>
    <row r="122" spans="1:26" x14ac:dyDescent="0.25">
      <c r="A122" s="32">
        <v>0.41666666666666702</v>
      </c>
      <c r="B122" s="42">
        <v>5.2634104235440654E-2</v>
      </c>
      <c r="C122" s="42">
        <v>5.1677708145174236E-2</v>
      </c>
      <c r="D122" s="42">
        <v>5.2046203355520827E-2</v>
      </c>
      <c r="E122" s="42">
        <v>5.2075643108177937E-2</v>
      </c>
      <c r="F122" s="42">
        <v>5.2090182807483107E-2</v>
      </c>
      <c r="G122" s="42">
        <v>5.0180707559175364E-2</v>
      </c>
      <c r="H122" s="42">
        <v>5.066977440340556E-2</v>
      </c>
      <c r="I122" s="42">
        <v>5.1309250029708021E-2</v>
      </c>
      <c r="J122" s="42">
        <v>4.9197501086643086E-2</v>
      </c>
      <c r="K122" s="42">
        <v>5.0324378725710286E-2</v>
      </c>
      <c r="L122" s="42">
        <v>4.9794906521617992E-2</v>
      </c>
      <c r="M122" s="42">
        <v>5.2126621403459646E-2</v>
      </c>
      <c r="N122" s="32">
        <v>0.41666666666666702</v>
      </c>
      <c r="O122" s="20">
        <f>B122*'1-Data Input'!$D$2</f>
        <v>0</v>
      </c>
      <c r="P122" s="20">
        <f>C122*'1-Data Input'!$D$3</f>
        <v>0</v>
      </c>
      <c r="Q122" s="20">
        <f>D122*'1-Data Input'!$D$4</f>
        <v>0</v>
      </c>
      <c r="R122" s="20">
        <f>E122*'1-Data Input'!$D$5</f>
        <v>0</v>
      </c>
      <c r="S122" s="20">
        <f>F122*'1-Data Input'!$D$6</f>
        <v>0</v>
      </c>
      <c r="T122" s="20">
        <f>G122*'1-Data Input'!$D$7</f>
        <v>0</v>
      </c>
      <c r="U122" s="20">
        <f>H122*'1-Data Input'!$D$8</f>
        <v>0</v>
      </c>
      <c r="V122" s="20">
        <f>I122*'1-Data Input'!$D$9</f>
        <v>0</v>
      </c>
      <c r="W122" s="20">
        <f>J122*'1-Data Input'!$D$10</f>
        <v>0</v>
      </c>
      <c r="X122" s="20">
        <f>K122*'1-Data Input'!$D$11</f>
        <v>0</v>
      </c>
      <c r="Y122" s="20">
        <f>L122*'1-Data Input'!$D$12</f>
        <v>0</v>
      </c>
      <c r="Z122" s="21">
        <f>M122*'1-Data Input'!$D$13</f>
        <v>0</v>
      </c>
    </row>
    <row r="123" spans="1:26" x14ac:dyDescent="0.25">
      <c r="A123" s="32">
        <v>0.45833333333333298</v>
      </c>
      <c r="B123" s="42">
        <v>5.1077826703081149E-2</v>
      </c>
      <c r="C123" s="42">
        <v>4.9818930181263051E-2</v>
      </c>
      <c r="D123" s="42">
        <v>5.3024743145134778E-2</v>
      </c>
      <c r="E123" s="42">
        <v>5.1358213376406212E-2</v>
      </c>
      <c r="F123" s="42">
        <v>5.2112189644326151E-2</v>
      </c>
      <c r="G123" s="42">
        <v>5.0740646474930005E-2</v>
      </c>
      <c r="H123" s="42">
        <v>5.0795238377132346E-2</v>
      </c>
      <c r="I123" s="42">
        <v>5.1954088872423261E-2</v>
      </c>
      <c r="J123" s="42">
        <v>5.0033706147839668E-2</v>
      </c>
      <c r="K123" s="42">
        <v>5.0801269644654326E-2</v>
      </c>
      <c r="L123" s="42">
        <v>5.0137714064734898E-2</v>
      </c>
      <c r="M123" s="42">
        <v>5.2588904899493145E-2</v>
      </c>
      <c r="N123" s="32">
        <v>0.45833333333333298</v>
      </c>
      <c r="O123" s="20">
        <f>B123*'1-Data Input'!$D$2</f>
        <v>0</v>
      </c>
      <c r="P123" s="20">
        <f>C123*'1-Data Input'!$D$3</f>
        <v>0</v>
      </c>
      <c r="Q123" s="20">
        <f>D123*'1-Data Input'!$D$4</f>
        <v>0</v>
      </c>
      <c r="R123" s="20">
        <f>E123*'1-Data Input'!$D$5</f>
        <v>0</v>
      </c>
      <c r="S123" s="20">
        <f>F123*'1-Data Input'!$D$6</f>
        <v>0</v>
      </c>
      <c r="T123" s="20">
        <f>G123*'1-Data Input'!$D$7</f>
        <v>0</v>
      </c>
      <c r="U123" s="20">
        <f>H123*'1-Data Input'!$D$8</f>
        <v>0</v>
      </c>
      <c r="V123" s="20">
        <f>I123*'1-Data Input'!$D$9</f>
        <v>0</v>
      </c>
      <c r="W123" s="20">
        <f>J123*'1-Data Input'!$D$10</f>
        <v>0</v>
      </c>
      <c r="X123" s="20">
        <f>K123*'1-Data Input'!$D$11</f>
        <v>0</v>
      </c>
      <c r="Y123" s="20">
        <f>L123*'1-Data Input'!$D$12</f>
        <v>0</v>
      </c>
      <c r="Z123" s="21">
        <f>M123*'1-Data Input'!$D$13</f>
        <v>0</v>
      </c>
    </row>
    <row r="124" spans="1:26" x14ac:dyDescent="0.25">
      <c r="A124" s="32">
        <v>0.5</v>
      </c>
      <c r="B124" s="42">
        <v>5.1605136855986847E-2</v>
      </c>
      <c r="C124" s="42">
        <v>5.0352638705554377E-2</v>
      </c>
      <c r="D124" s="42">
        <v>5.2083111529403758E-2</v>
      </c>
      <c r="E124" s="42">
        <v>5.0651961728273992E-2</v>
      </c>
      <c r="F124" s="42">
        <v>5.1628039233779205E-2</v>
      </c>
      <c r="G124" s="42">
        <v>5.0577755153983203E-2</v>
      </c>
      <c r="H124" s="42">
        <v>5.1866541673919138E-2</v>
      </c>
      <c r="I124" s="42">
        <v>5.1233232442558667E-2</v>
      </c>
      <c r="J124" s="42">
        <v>5.0564996656334731E-2</v>
      </c>
      <c r="K124" s="42">
        <v>4.9760006193388544E-2</v>
      </c>
      <c r="L124" s="42">
        <v>5.1034839716364758E-2</v>
      </c>
      <c r="M124" s="42">
        <v>5.1121404233127832E-2</v>
      </c>
      <c r="N124" s="32">
        <v>0.5</v>
      </c>
      <c r="O124" s="20">
        <f>B124*'1-Data Input'!$D$2</f>
        <v>0</v>
      </c>
      <c r="P124" s="20">
        <f>C124*'1-Data Input'!$D$3</f>
        <v>0</v>
      </c>
      <c r="Q124" s="20">
        <f>D124*'1-Data Input'!$D$4</f>
        <v>0</v>
      </c>
      <c r="R124" s="20">
        <f>E124*'1-Data Input'!$D$5</f>
        <v>0</v>
      </c>
      <c r="S124" s="20">
        <f>F124*'1-Data Input'!$D$6</f>
        <v>0</v>
      </c>
      <c r="T124" s="20">
        <f>G124*'1-Data Input'!$D$7</f>
        <v>0</v>
      </c>
      <c r="U124" s="20">
        <f>H124*'1-Data Input'!$D$8</f>
        <v>0</v>
      </c>
      <c r="V124" s="20">
        <f>I124*'1-Data Input'!$D$9</f>
        <v>0</v>
      </c>
      <c r="W124" s="20">
        <f>J124*'1-Data Input'!$D$10</f>
        <v>0</v>
      </c>
      <c r="X124" s="20">
        <f>K124*'1-Data Input'!$D$11</f>
        <v>0</v>
      </c>
      <c r="Y124" s="20">
        <f>L124*'1-Data Input'!$D$12</f>
        <v>0</v>
      </c>
      <c r="Z124" s="21">
        <f>M124*'1-Data Input'!$D$13</f>
        <v>0</v>
      </c>
    </row>
    <row r="125" spans="1:26" x14ac:dyDescent="0.25">
      <c r="A125" s="32">
        <v>0.54166666666666696</v>
      </c>
      <c r="B125" s="42">
        <v>4.9173809502318977E-2</v>
      </c>
      <c r="C125" s="42">
        <v>4.8657654047373988E-2</v>
      </c>
      <c r="D125" s="42">
        <v>4.9712471130000532E-2</v>
      </c>
      <c r="E125" s="42">
        <v>4.9722148407351723E-2</v>
      </c>
      <c r="F125" s="42">
        <v>5.2565530483292836E-2</v>
      </c>
      <c r="G125" s="42">
        <v>5.0156273861033343E-2</v>
      </c>
      <c r="H125" s="42">
        <v>5.1464968603082362E-2</v>
      </c>
      <c r="I125" s="42">
        <v>5.1251581515318854E-2</v>
      </c>
      <c r="J125" s="42">
        <v>4.9955167550931705E-2</v>
      </c>
      <c r="K125" s="42">
        <v>4.8457072075559326E-2</v>
      </c>
      <c r="L125" s="42">
        <v>4.939974905812361E-2</v>
      </c>
      <c r="M125" s="42">
        <v>5.0460405349410896E-2</v>
      </c>
      <c r="N125" s="32">
        <v>0.54166666666666696</v>
      </c>
      <c r="O125" s="20">
        <f>B125*'1-Data Input'!$D$2</f>
        <v>0</v>
      </c>
      <c r="P125" s="20">
        <f>C125*'1-Data Input'!$D$3</f>
        <v>0</v>
      </c>
      <c r="Q125" s="20">
        <f>D125*'1-Data Input'!$D$4</f>
        <v>0</v>
      </c>
      <c r="R125" s="20">
        <f>E125*'1-Data Input'!$D$5</f>
        <v>0</v>
      </c>
      <c r="S125" s="20">
        <f>F125*'1-Data Input'!$D$6</f>
        <v>0</v>
      </c>
      <c r="T125" s="20">
        <f>G125*'1-Data Input'!$D$7</f>
        <v>0</v>
      </c>
      <c r="U125" s="20">
        <f>H125*'1-Data Input'!$D$8</f>
        <v>0</v>
      </c>
      <c r="V125" s="20">
        <f>I125*'1-Data Input'!$D$9</f>
        <v>0</v>
      </c>
      <c r="W125" s="20">
        <f>J125*'1-Data Input'!$D$10</f>
        <v>0</v>
      </c>
      <c r="X125" s="20">
        <f>K125*'1-Data Input'!$D$11</f>
        <v>0</v>
      </c>
      <c r="Y125" s="20">
        <f>L125*'1-Data Input'!$D$12</f>
        <v>0</v>
      </c>
      <c r="Z125" s="21">
        <f>M125*'1-Data Input'!$D$13</f>
        <v>0</v>
      </c>
    </row>
    <row r="126" spans="1:26" x14ac:dyDescent="0.25">
      <c r="A126" s="32">
        <v>0.58333333333333304</v>
      </c>
      <c r="B126" s="42">
        <v>4.7989974456336099E-2</v>
      </c>
      <c r="C126" s="42">
        <v>4.760127924412149E-2</v>
      </c>
      <c r="D126" s="42">
        <v>4.926768031653965E-2</v>
      </c>
      <c r="E126" s="42">
        <v>4.8878711187280148E-2</v>
      </c>
      <c r="F126" s="42">
        <v>5.043967004425487E-2</v>
      </c>
      <c r="G126" s="42">
        <v>4.8236192415372865E-2</v>
      </c>
      <c r="H126" s="42">
        <v>4.9593611586509628E-2</v>
      </c>
      <c r="I126" s="42">
        <v>4.8922123040144275E-2</v>
      </c>
      <c r="J126" s="42">
        <v>4.7554350441529357E-2</v>
      </c>
      <c r="K126" s="42">
        <v>4.6953627003174105E-2</v>
      </c>
      <c r="L126" s="42">
        <v>4.8921844946290677E-2</v>
      </c>
      <c r="M126" s="42">
        <v>4.7117995899672353E-2</v>
      </c>
      <c r="N126" s="32">
        <v>0.58333333333333304</v>
      </c>
      <c r="O126" s="20">
        <f>B126*'1-Data Input'!$D$2</f>
        <v>0</v>
      </c>
      <c r="P126" s="20">
        <f>C126*'1-Data Input'!$D$3</f>
        <v>0</v>
      </c>
      <c r="Q126" s="20">
        <f>D126*'1-Data Input'!$D$4</f>
        <v>0</v>
      </c>
      <c r="R126" s="20">
        <f>E126*'1-Data Input'!$D$5</f>
        <v>0</v>
      </c>
      <c r="S126" s="20">
        <f>F126*'1-Data Input'!$D$6</f>
        <v>0</v>
      </c>
      <c r="T126" s="20">
        <f>G126*'1-Data Input'!$D$7</f>
        <v>0</v>
      </c>
      <c r="U126" s="20">
        <f>H126*'1-Data Input'!$D$8</f>
        <v>0</v>
      </c>
      <c r="V126" s="20">
        <f>I126*'1-Data Input'!$D$9</f>
        <v>0</v>
      </c>
      <c r="W126" s="20">
        <f>J126*'1-Data Input'!$D$10</f>
        <v>0</v>
      </c>
      <c r="X126" s="20">
        <f>K126*'1-Data Input'!$D$11</f>
        <v>0</v>
      </c>
      <c r="Y126" s="20">
        <f>L126*'1-Data Input'!$D$12</f>
        <v>0</v>
      </c>
      <c r="Z126" s="21">
        <f>M126*'1-Data Input'!$D$13</f>
        <v>0</v>
      </c>
    </row>
    <row r="127" spans="1:26" x14ac:dyDescent="0.25">
      <c r="A127" s="32">
        <v>0.625</v>
      </c>
      <c r="B127" s="42">
        <v>4.667407434503091E-2</v>
      </c>
      <c r="C127" s="42">
        <v>4.6018557413464445E-2</v>
      </c>
      <c r="D127" s="42">
        <v>4.6106826450668686E-2</v>
      </c>
      <c r="E127" s="42">
        <v>4.6140080695601979E-2</v>
      </c>
      <c r="F127" s="42">
        <v>4.8475559856013269E-2</v>
      </c>
      <c r="G127" s="42">
        <v>4.7164672944769663E-2</v>
      </c>
      <c r="H127" s="42">
        <v>4.6962844109245554E-2</v>
      </c>
      <c r="I127" s="42">
        <v>4.6272429557035907E-2</v>
      </c>
      <c r="J127" s="42">
        <v>4.6845963096869274E-2</v>
      </c>
      <c r="K127" s="42">
        <v>4.6131067585352632E-2</v>
      </c>
      <c r="L127" s="42">
        <v>4.6082706119367954E-2</v>
      </c>
      <c r="M127" s="42">
        <v>4.6363459438070929E-2</v>
      </c>
      <c r="N127" s="32">
        <v>0.625</v>
      </c>
      <c r="O127" s="20">
        <f>B127*'1-Data Input'!$D$2</f>
        <v>0</v>
      </c>
      <c r="P127" s="20">
        <f>C127*'1-Data Input'!$D$3</f>
        <v>0</v>
      </c>
      <c r="Q127" s="20">
        <f>D127*'1-Data Input'!$D$4</f>
        <v>0</v>
      </c>
      <c r="R127" s="20">
        <f>E127*'1-Data Input'!$D$5</f>
        <v>0</v>
      </c>
      <c r="S127" s="20">
        <f>F127*'1-Data Input'!$D$6</f>
        <v>0</v>
      </c>
      <c r="T127" s="20">
        <f>G127*'1-Data Input'!$D$7</f>
        <v>0</v>
      </c>
      <c r="U127" s="20">
        <f>H127*'1-Data Input'!$D$8</f>
        <v>0</v>
      </c>
      <c r="V127" s="20">
        <f>I127*'1-Data Input'!$D$9</f>
        <v>0</v>
      </c>
      <c r="W127" s="20">
        <f>J127*'1-Data Input'!$D$10</f>
        <v>0</v>
      </c>
      <c r="X127" s="20">
        <f>K127*'1-Data Input'!$D$11</f>
        <v>0</v>
      </c>
      <c r="Y127" s="20">
        <f>L127*'1-Data Input'!$D$12</f>
        <v>0</v>
      </c>
      <c r="Z127" s="21">
        <f>M127*'1-Data Input'!$D$13</f>
        <v>0</v>
      </c>
    </row>
    <row r="128" spans="1:26" x14ac:dyDescent="0.25">
      <c r="A128" s="32">
        <v>0.66666666666666696</v>
      </c>
      <c r="B128" s="42">
        <v>4.2629462955986699E-2</v>
      </c>
      <c r="C128" s="42">
        <v>4.2954334334343543E-2</v>
      </c>
      <c r="D128" s="42">
        <v>4.3148494359437357E-2</v>
      </c>
      <c r="E128" s="42">
        <v>4.1960493603849729E-2</v>
      </c>
      <c r="F128" s="42">
        <v>4.4147915390828837E-2</v>
      </c>
      <c r="G128" s="42">
        <v>4.4359378976838892E-2</v>
      </c>
      <c r="H128" s="42">
        <v>4.4610394601868358E-2</v>
      </c>
      <c r="I128" s="42">
        <v>4.4430969040745429E-2</v>
      </c>
      <c r="J128" s="42">
        <v>4.5584725628876638E-2</v>
      </c>
      <c r="K128" s="42">
        <v>4.3319656266935035E-2</v>
      </c>
      <c r="L128" s="42">
        <v>4.305696515690622E-2</v>
      </c>
      <c r="M128" s="42">
        <v>4.3361526771831881E-2</v>
      </c>
      <c r="N128" s="32">
        <v>0.66666666666666696</v>
      </c>
      <c r="O128" s="20">
        <f>B128*'1-Data Input'!$D$2</f>
        <v>0</v>
      </c>
      <c r="P128" s="20">
        <f>C128*'1-Data Input'!$D$3</f>
        <v>0</v>
      </c>
      <c r="Q128" s="20">
        <f>D128*'1-Data Input'!$D$4</f>
        <v>0</v>
      </c>
      <c r="R128" s="20">
        <f>E128*'1-Data Input'!$D$5</f>
        <v>0</v>
      </c>
      <c r="S128" s="20">
        <f>F128*'1-Data Input'!$D$6</f>
        <v>0</v>
      </c>
      <c r="T128" s="20">
        <f>G128*'1-Data Input'!$D$7</f>
        <v>0</v>
      </c>
      <c r="U128" s="20">
        <f>H128*'1-Data Input'!$D$8</f>
        <v>0</v>
      </c>
      <c r="V128" s="20">
        <f>I128*'1-Data Input'!$D$9</f>
        <v>0</v>
      </c>
      <c r="W128" s="20">
        <f>J128*'1-Data Input'!$D$10</f>
        <v>0</v>
      </c>
      <c r="X128" s="20">
        <f>K128*'1-Data Input'!$D$11</f>
        <v>0</v>
      </c>
      <c r="Y128" s="20">
        <f>L128*'1-Data Input'!$D$12</f>
        <v>0</v>
      </c>
      <c r="Z128" s="21">
        <f>M128*'1-Data Input'!$D$13</f>
        <v>0</v>
      </c>
    </row>
    <row r="129" spans="1:26" x14ac:dyDescent="0.25">
      <c r="A129" s="32">
        <v>0.70833333333333304</v>
      </c>
      <c r="B129" s="42">
        <v>3.9752534770403927E-2</v>
      </c>
      <c r="C129" s="42">
        <v>3.8583445557819722E-2</v>
      </c>
      <c r="D129" s="42">
        <v>3.6463383069463555E-2</v>
      </c>
      <c r="E129" s="42">
        <v>3.7924189220567471E-2</v>
      </c>
      <c r="F129" s="42">
        <v>3.9029125141137003E-2</v>
      </c>
      <c r="G129" s="42">
        <v>3.9725120895902265E-2</v>
      </c>
      <c r="H129" s="42">
        <v>4.0581410656839255E-2</v>
      </c>
      <c r="I129" s="42">
        <v>4.0499024877847602E-2</v>
      </c>
      <c r="J129" s="42">
        <v>4.1764053885177337E-2</v>
      </c>
      <c r="K129" s="42">
        <v>4.0667337617093742E-2</v>
      </c>
      <c r="L129" s="42">
        <v>3.8857150576946789E-2</v>
      </c>
      <c r="M129" s="42">
        <v>3.8296362998745517E-2</v>
      </c>
      <c r="N129" s="32">
        <v>0.70833333333333304</v>
      </c>
      <c r="O129" s="20">
        <f>B129*'1-Data Input'!$D$2</f>
        <v>0</v>
      </c>
      <c r="P129" s="20">
        <f>C129*'1-Data Input'!$D$3</f>
        <v>0</v>
      </c>
      <c r="Q129" s="20">
        <f>D129*'1-Data Input'!$D$4</f>
        <v>0</v>
      </c>
      <c r="R129" s="20">
        <f>E129*'1-Data Input'!$D$5</f>
        <v>0</v>
      </c>
      <c r="S129" s="20">
        <f>F129*'1-Data Input'!$D$6</f>
        <v>0</v>
      </c>
      <c r="T129" s="20">
        <f>G129*'1-Data Input'!$D$7</f>
        <v>0</v>
      </c>
      <c r="U129" s="20">
        <f>H129*'1-Data Input'!$D$8</f>
        <v>0</v>
      </c>
      <c r="V129" s="20">
        <f>I129*'1-Data Input'!$D$9</f>
        <v>0</v>
      </c>
      <c r="W129" s="20">
        <f>J129*'1-Data Input'!$D$10</f>
        <v>0</v>
      </c>
      <c r="X129" s="20">
        <f>K129*'1-Data Input'!$D$11</f>
        <v>0</v>
      </c>
      <c r="Y129" s="20">
        <f>L129*'1-Data Input'!$D$12</f>
        <v>0</v>
      </c>
      <c r="Z129" s="21">
        <f>M129*'1-Data Input'!$D$13</f>
        <v>0</v>
      </c>
    </row>
    <row r="130" spans="1:26" x14ac:dyDescent="0.25">
      <c r="A130" s="32">
        <v>0.75</v>
      </c>
      <c r="B130" s="42">
        <v>3.7417643417672869E-2</v>
      </c>
      <c r="C130" s="42">
        <v>3.7488422895911644E-2</v>
      </c>
      <c r="D130" s="42">
        <v>3.8043810002399037E-2</v>
      </c>
      <c r="E130" s="42">
        <v>3.7687925180005251E-2</v>
      </c>
      <c r="F130" s="42">
        <v>3.5700591068626733E-2</v>
      </c>
      <c r="G130" s="42">
        <v>3.7398829218630698E-2</v>
      </c>
      <c r="H130" s="42">
        <v>3.8268720859445896E-2</v>
      </c>
      <c r="I130" s="42">
        <v>3.8264369945267336E-2</v>
      </c>
      <c r="J130" s="42">
        <v>3.8801531810634206E-2</v>
      </c>
      <c r="K130" s="42">
        <v>3.831578539908647E-2</v>
      </c>
      <c r="L130" s="42">
        <v>3.8964805655142369E-2</v>
      </c>
      <c r="M130" s="42">
        <v>3.7321493575905113E-2</v>
      </c>
      <c r="N130" s="32">
        <v>0.75</v>
      </c>
      <c r="O130" s="20">
        <f>B130*'1-Data Input'!$D$2</f>
        <v>0</v>
      </c>
      <c r="P130" s="20">
        <f>C130*'1-Data Input'!$D$3</f>
        <v>0</v>
      </c>
      <c r="Q130" s="20">
        <f>D130*'1-Data Input'!$D$4</f>
        <v>0</v>
      </c>
      <c r="R130" s="20">
        <f>E130*'1-Data Input'!$D$5</f>
        <v>0</v>
      </c>
      <c r="S130" s="20">
        <f>F130*'1-Data Input'!$D$6</f>
        <v>0</v>
      </c>
      <c r="T130" s="20">
        <f>G130*'1-Data Input'!$D$7</f>
        <v>0</v>
      </c>
      <c r="U130" s="20">
        <f>H130*'1-Data Input'!$D$8</f>
        <v>0</v>
      </c>
      <c r="V130" s="20">
        <f>I130*'1-Data Input'!$D$9</f>
        <v>0</v>
      </c>
      <c r="W130" s="20">
        <f>J130*'1-Data Input'!$D$10</f>
        <v>0</v>
      </c>
      <c r="X130" s="20">
        <f>K130*'1-Data Input'!$D$11</f>
        <v>0</v>
      </c>
      <c r="Y130" s="20">
        <f>L130*'1-Data Input'!$D$12</f>
        <v>0</v>
      </c>
      <c r="Z130" s="21">
        <f>M130*'1-Data Input'!$D$13</f>
        <v>0</v>
      </c>
    </row>
    <row r="131" spans="1:26" x14ac:dyDescent="0.25">
      <c r="A131" s="32">
        <v>0.79166666666666696</v>
      </c>
      <c r="B131" s="42">
        <v>3.7470374432963437E-2</v>
      </c>
      <c r="C131" s="42">
        <v>3.6980479610724037E-2</v>
      </c>
      <c r="D131" s="42">
        <v>3.6272217656018665E-2</v>
      </c>
      <c r="E131" s="42">
        <v>3.6204796718927588E-2</v>
      </c>
      <c r="F131" s="42">
        <v>3.4508920853575938E-2</v>
      </c>
      <c r="G131" s="42">
        <v>3.5648765589208452E-2</v>
      </c>
      <c r="H131" s="42">
        <v>3.7140870419570975E-2</v>
      </c>
      <c r="I131" s="42">
        <v>3.7631326935040788E-2</v>
      </c>
      <c r="J131" s="42">
        <v>3.7717006185684493E-2</v>
      </c>
      <c r="K131" s="42">
        <v>3.8080049547108454E-2</v>
      </c>
      <c r="L131" s="42">
        <v>3.6359552762809264E-2</v>
      </c>
      <c r="M131" s="42">
        <v>3.6023191994868614E-2</v>
      </c>
      <c r="N131" s="32">
        <v>0.79166666666666696</v>
      </c>
      <c r="O131" s="20">
        <f>B131*'1-Data Input'!$D$2</f>
        <v>0</v>
      </c>
      <c r="P131" s="20">
        <f>C131*'1-Data Input'!$D$3</f>
        <v>0</v>
      </c>
      <c r="Q131" s="20">
        <f>D131*'1-Data Input'!$D$4</f>
        <v>0</v>
      </c>
      <c r="R131" s="20">
        <f>E131*'1-Data Input'!$D$5</f>
        <v>0</v>
      </c>
      <c r="S131" s="20">
        <f>F131*'1-Data Input'!$D$6</f>
        <v>0</v>
      </c>
      <c r="T131" s="20">
        <f>G131*'1-Data Input'!$D$7</f>
        <v>0</v>
      </c>
      <c r="U131" s="20">
        <f>H131*'1-Data Input'!$D$8</f>
        <v>0</v>
      </c>
      <c r="V131" s="20">
        <f>I131*'1-Data Input'!$D$9</f>
        <v>0</v>
      </c>
      <c r="W131" s="20">
        <f>J131*'1-Data Input'!$D$10</f>
        <v>0</v>
      </c>
      <c r="X131" s="20">
        <f>K131*'1-Data Input'!$D$11</f>
        <v>0</v>
      </c>
      <c r="Y131" s="20">
        <f>L131*'1-Data Input'!$D$12</f>
        <v>0</v>
      </c>
      <c r="Z131" s="21">
        <f>M131*'1-Data Input'!$D$13</f>
        <v>0</v>
      </c>
    </row>
    <row r="132" spans="1:26" x14ac:dyDescent="0.25">
      <c r="A132" s="32">
        <v>0.83333333333333304</v>
      </c>
      <c r="B132" s="42">
        <v>3.3975875798031657E-2</v>
      </c>
      <c r="C132" s="42">
        <v>3.5896499194146128E-2</v>
      </c>
      <c r="D132" s="42">
        <v>3.5062765188778218E-2</v>
      </c>
      <c r="E132" s="42">
        <v>3.6196667203553412E-2</v>
      </c>
      <c r="F132" s="42">
        <v>3.3175306540887531E-2</v>
      </c>
      <c r="G132" s="42">
        <v>3.5713922117587171E-2</v>
      </c>
      <c r="H132" s="42">
        <v>3.57837389854559E-2</v>
      </c>
      <c r="I132" s="42">
        <v>3.521274439217386E-2</v>
      </c>
      <c r="J132" s="42">
        <v>3.6366450313365148E-2</v>
      </c>
      <c r="K132" s="42">
        <v>3.7044205310830684E-2</v>
      </c>
      <c r="L132" s="42">
        <v>3.6577395979863855E-2</v>
      </c>
      <c r="M132" s="42">
        <v>3.5718883074817791E-2</v>
      </c>
      <c r="N132" s="32">
        <v>0.83333333333333304</v>
      </c>
      <c r="O132" s="20">
        <f>B132*'1-Data Input'!$D$2</f>
        <v>0</v>
      </c>
      <c r="P132" s="20">
        <f>C132*'1-Data Input'!$D$3</f>
        <v>0</v>
      </c>
      <c r="Q132" s="20">
        <f>D132*'1-Data Input'!$D$4</f>
        <v>0</v>
      </c>
      <c r="R132" s="20">
        <f>E132*'1-Data Input'!$D$5</f>
        <v>0</v>
      </c>
      <c r="S132" s="20">
        <f>F132*'1-Data Input'!$D$6</f>
        <v>0</v>
      </c>
      <c r="T132" s="20">
        <f>G132*'1-Data Input'!$D$7</f>
        <v>0</v>
      </c>
      <c r="U132" s="20">
        <f>H132*'1-Data Input'!$D$8</f>
        <v>0</v>
      </c>
      <c r="V132" s="20">
        <f>I132*'1-Data Input'!$D$9</f>
        <v>0</v>
      </c>
      <c r="W132" s="20">
        <f>J132*'1-Data Input'!$D$10</f>
        <v>0</v>
      </c>
      <c r="X132" s="20">
        <f>K132*'1-Data Input'!$D$11</f>
        <v>0</v>
      </c>
      <c r="Y132" s="20">
        <f>L132*'1-Data Input'!$D$12</f>
        <v>0</v>
      </c>
      <c r="Z132" s="21">
        <f>M132*'1-Data Input'!$D$13</f>
        <v>0</v>
      </c>
    </row>
    <row r="133" spans="1:26" x14ac:dyDescent="0.25">
      <c r="A133" s="32">
        <v>0.875</v>
      </c>
      <c r="B133" s="42">
        <v>3.6013858280883389E-2</v>
      </c>
      <c r="C133" s="42">
        <v>3.4603636303405932E-2</v>
      </c>
      <c r="D133" s="42">
        <v>3.3217356494631999E-2</v>
      </c>
      <c r="E133" s="42">
        <v>3.569111296622135E-2</v>
      </c>
      <c r="F133" s="42">
        <v>3.3422883455371769E-2</v>
      </c>
      <c r="G133" s="42">
        <v>3.3588699414609312E-2</v>
      </c>
      <c r="H133" s="42">
        <v>3.5008424640771023E-2</v>
      </c>
      <c r="I133" s="42">
        <v>3.5164687296849552E-2</v>
      </c>
      <c r="J133" s="42">
        <v>3.6855391578429451E-2</v>
      </c>
      <c r="K133" s="42">
        <v>3.5627467678253456E-2</v>
      </c>
      <c r="L133" s="42">
        <v>3.5196877918296975E-2</v>
      </c>
      <c r="M133" s="42">
        <v>3.3698471392513155E-2</v>
      </c>
      <c r="N133" s="32">
        <v>0.875</v>
      </c>
      <c r="O133" s="20">
        <f>B133*'1-Data Input'!$D$2</f>
        <v>0</v>
      </c>
      <c r="P133" s="20">
        <f>C133*'1-Data Input'!$D$3</f>
        <v>0</v>
      </c>
      <c r="Q133" s="20">
        <f>D133*'1-Data Input'!$D$4</f>
        <v>0</v>
      </c>
      <c r="R133" s="20">
        <f>E133*'1-Data Input'!$D$5</f>
        <v>0</v>
      </c>
      <c r="S133" s="20">
        <f>F133*'1-Data Input'!$D$6</f>
        <v>0</v>
      </c>
      <c r="T133" s="20">
        <f>G133*'1-Data Input'!$D$7</f>
        <v>0</v>
      </c>
      <c r="U133" s="20">
        <f>H133*'1-Data Input'!$D$8</f>
        <v>0</v>
      </c>
      <c r="V133" s="20">
        <f>I133*'1-Data Input'!$D$9</f>
        <v>0</v>
      </c>
      <c r="W133" s="20">
        <f>J133*'1-Data Input'!$D$10</f>
        <v>0</v>
      </c>
      <c r="X133" s="20">
        <f>K133*'1-Data Input'!$D$11</f>
        <v>0</v>
      </c>
      <c r="Y133" s="20">
        <f>L133*'1-Data Input'!$D$12</f>
        <v>0</v>
      </c>
      <c r="Z133" s="21">
        <f>M133*'1-Data Input'!$D$13</f>
        <v>0</v>
      </c>
    </row>
    <row r="134" spans="1:26" x14ac:dyDescent="0.25">
      <c r="A134" s="32">
        <v>0.91666666666666696</v>
      </c>
      <c r="B134" s="42">
        <v>3.2242878106319976E-2</v>
      </c>
      <c r="C134" s="42">
        <v>3.2872764347902497E-2</v>
      </c>
      <c r="D134" s="42">
        <v>3.3421770996137426E-2</v>
      </c>
      <c r="E134" s="42">
        <v>3.2022161058910023E-2</v>
      </c>
      <c r="F134" s="42">
        <v>3.1168283020801994E-2</v>
      </c>
      <c r="G134" s="42">
        <v>3.304046831254772E-2</v>
      </c>
      <c r="H134" s="42">
        <v>3.3551893931696358E-2</v>
      </c>
      <c r="I134" s="42">
        <v>3.3909086460830844E-2</v>
      </c>
      <c r="J134" s="42">
        <v>3.4473824125132002E-2</v>
      </c>
      <c r="K134" s="42">
        <v>3.5056127583804282E-2</v>
      </c>
      <c r="L134" s="42">
        <v>3.4545881327796631E-2</v>
      </c>
      <c r="M134" s="42">
        <v>3.3334298422616267E-2</v>
      </c>
      <c r="N134" s="32">
        <v>0.91666666666666696</v>
      </c>
      <c r="O134" s="20">
        <f>B134*'1-Data Input'!$D$2</f>
        <v>0</v>
      </c>
      <c r="P134" s="20">
        <f>C134*'1-Data Input'!$D$3</f>
        <v>0</v>
      </c>
      <c r="Q134" s="20">
        <f>D134*'1-Data Input'!$D$4</f>
        <v>0</v>
      </c>
      <c r="R134" s="20">
        <f>E134*'1-Data Input'!$D$5</f>
        <v>0</v>
      </c>
      <c r="S134" s="20">
        <f>F134*'1-Data Input'!$D$6</f>
        <v>0</v>
      </c>
      <c r="T134" s="20">
        <f>G134*'1-Data Input'!$D$7</f>
        <v>0</v>
      </c>
      <c r="U134" s="20">
        <f>H134*'1-Data Input'!$D$8</f>
        <v>0</v>
      </c>
      <c r="V134" s="20">
        <f>I134*'1-Data Input'!$D$9</f>
        <v>0</v>
      </c>
      <c r="W134" s="20">
        <f>J134*'1-Data Input'!$D$10</f>
        <v>0</v>
      </c>
      <c r="X134" s="20">
        <f>K134*'1-Data Input'!$D$11</f>
        <v>0</v>
      </c>
      <c r="Y134" s="20">
        <f>L134*'1-Data Input'!$D$12</f>
        <v>0</v>
      </c>
      <c r="Z134" s="21">
        <f>M134*'1-Data Input'!$D$13</f>
        <v>0</v>
      </c>
    </row>
    <row r="135" spans="1:26" x14ac:dyDescent="0.25">
      <c r="A135" s="32">
        <v>0.95833333333333304</v>
      </c>
      <c r="B135" s="43">
        <v>3.2854747905367306E-2</v>
      </c>
      <c r="C135" s="43">
        <v>3.317274534603866E-2</v>
      </c>
      <c r="D135" s="43">
        <v>3.2876665658789613E-2</v>
      </c>
      <c r="E135" s="43">
        <v>3.2365633083469285E-2</v>
      </c>
      <c r="F135" s="43">
        <v>3.2229012556636676E-2</v>
      </c>
      <c r="G135" s="43">
        <v>3.3128022397556633E-2</v>
      </c>
      <c r="H135" s="43">
        <v>3.2912204375511914E-2</v>
      </c>
      <c r="I135" s="43">
        <v>3.3430263038326843E-2</v>
      </c>
      <c r="J135" s="43">
        <v>3.4988174936254765E-2</v>
      </c>
      <c r="K135" s="43">
        <v>3.3436556475961901E-2</v>
      </c>
      <c r="L135" s="43">
        <v>3.3394183079492511E-2</v>
      </c>
      <c r="M135" s="43">
        <v>3.1927493251233778E-2</v>
      </c>
      <c r="N135" s="32">
        <v>0.95833333333333304</v>
      </c>
      <c r="O135" s="26">
        <f>B135*'1-Data Input'!$D$2</f>
        <v>0</v>
      </c>
      <c r="P135" s="26">
        <f>C135*'1-Data Input'!$D$3</f>
        <v>0</v>
      </c>
      <c r="Q135" s="26">
        <f>D135*'1-Data Input'!$D$4</f>
        <v>0</v>
      </c>
      <c r="R135" s="26">
        <f>E135*'1-Data Input'!$D$5</f>
        <v>0</v>
      </c>
      <c r="S135" s="26">
        <f>F135*'1-Data Input'!$D$6</f>
        <v>0</v>
      </c>
      <c r="T135" s="26">
        <f>G135*'1-Data Input'!$D$7</f>
        <v>0</v>
      </c>
      <c r="U135" s="26">
        <f>H135*'1-Data Input'!$D$8</f>
        <v>0</v>
      </c>
      <c r="V135" s="26">
        <f>I135*'1-Data Input'!$D$9</f>
        <v>0</v>
      </c>
      <c r="W135" s="26">
        <f>J135*'1-Data Input'!$D$10</f>
        <v>0</v>
      </c>
      <c r="X135" s="26">
        <f>K135*'1-Data Input'!$D$11</f>
        <v>0</v>
      </c>
      <c r="Y135" s="26">
        <f>L135*'1-Data Input'!$D$12</f>
        <v>0</v>
      </c>
      <c r="Z135" s="27">
        <f>M135*'1-Data Input'!$D$13</f>
        <v>0</v>
      </c>
    </row>
    <row r="136" spans="1:26" ht="20.25" x14ac:dyDescent="0.25">
      <c r="A136" s="65" t="s">
        <v>33</v>
      </c>
      <c r="B136" s="65"/>
      <c r="C136" s="65"/>
      <c r="D136" s="65"/>
      <c r="E136" s="65"/>
      <c r="F136" s="65"/>
      <c r="G136" s="66" t="s">
        <v>53</v>
      </c>
      <c r="H136" s="66"/>
      <c r="I136" s="66"/>
      <c r="J136" s="66"/>
      <c r="K136" s="66"/>
      <c r="L136" s="66"/>
      <c r="M136" s="66"/>
      <c r="N136" s="66"/>
      <c r="O136" s="66"/>
      <c r="P136" s="66"/>
      <c r="Q136" s="66"/>
      <c r="R136" s="66"/>
      <c r="S136" s="66"/>
      <c r="T136" s="66"/>
      <c r="U136" s="66"/>
      <c r="V136" s="66"/>
      <c r="W136" s="66"/>
      <c r="X136" s="66"/>
      <c r="Y136" s="66"/>
      <c r="Z136" s="66"/>
    </row>
    <row r="137" spans="1:26" ht="33.75" x14ac:dyDescent="0.5">
      <c r="A137" s="67" t="s">
        <v>15</v>
      </c>
      <c r="B137" s="67"/>
      <c r="C137" s="67"/>
      <c r="D137" s="67"/>
      <c r="E137" s="67"/>
      <c r="F137" s="67"/>
      <c r="G137" s="67"/>
      <c r="H137" s="67"/>
      <c r="I137" s="67"/>
      <c r="J137" s="67"/>
      <c r="K137" s="67"/>
      <c r="L137" s="67"/>
      <c r="M137" s="68"/>
      <c r="N137" s="69" t="s">
        <v>27</v>
      </c>
      <c r="O137" s="69"/>
      <c r="P137" s="69"/>
      <c r="Q137" s="69"/>
      <c r="R137" s="69"/>
      <c r="S137" s="69"/>
      <c r="T137" s="69"/>
      <c r="U137" s="69"/>
      <c r="V137" s="69"/>
      <c r="W137" s="69"/>
      <c r="X137" s="69"/>
      <c r="Y137" s="69"/>
      <c r="Z137" s="69"/>
    </row>
    <row r="138" spans="1:26" ht="46.5" x14ac:dyDescent="0.25">
      <c r="A138" s="28" t="s">
        <v>30</v>
      </c>
      <c r="B138" s="29" t="s">
        <v>16</v>
      </c>
      <c r="C138" s="29" t="s">
        <v>17</v>
      </c>
      <c r="D138" s="29" t="s">
        <v>18</v>
      </c>
      <c r="E138" s="29" t="s">
        <v>19</v>
      </c>
      <c r="F138" s="29" t="s">
        <v>4</v>
      </c>
      <c r="G138" s="29" t="s">
        <v>20</v>
      </c>
      <c r="H138" s="29" t="s">
        <v>21</v>
      </c>
      <c r="I138" s="29" t="s">
        <v>22</v>
      </c>
      <c r="J138" s="29" t="s">
        <v>23</v>
      </c>
      <c r="K138" s="29" t="s">
        <v>24</v>
      </c>
      <c r="L138" s="29" t="s">
        <v>25</v>
      </c>
      <c r="M138" s="30" t="s">
        <v>26</v>
      </c>
      <c r="N138" s="40" t="s">
        <v>30</v>
      </c>
      <c r="O138" s="40" t="s">
        <v>16</v>
      </c>
      <c r="P138" s="40" t="s">
        <v>17</v>
      </c>
      <c r="Q138" s="40" t="s">
        <v>18</v>
      </c>
      <c r="R138" s="40" t="s">
        <v>19</v>
      </c>
      <c r="S138" s="40" t="s">
        <v>4</v>
      </c>
      <c r="T138" s="40" t="s">
        <v>20</v>
      </c>
      <c r="U138" s="40" t="s">
        <v>21</v>
      </c>
      <c r="V138" s="40" t="s">
        <v>22</v>
      </c>
      <c r="W138" s="40" t="s">
        <v>23</v>
      </c>
      <c r="X138" s="40" t="s">
        <v>24</v>
      </c>
      <c r="Y138" s="40" t="s">
        <v>25</v>
      </c>
      <c r="Z138" s="40" t="s">
        <v>26</v>
      </c>
    </row>
    <row r="139" spans="1:26" x14ac:dyDescent="0.25">
      <c r="A139" s="32">
        <v>0</v>
      </c>
      <c r="B139" s="42">
        <v>3.1716993115989703E-2</v>
      </c>
      <c r="C139" s="42">
        <v>3.2898989680561638E-2</v>
      </c>
      <c r="D139" s="42">
        <v>3.2635342983401261E-2</v>
      </c>
      <c r="E139" s="42">
        <v>3.4075371785602319E-2</v>
      </c>
      <c r="F139" s="42">
        <v>3.1788875819775818E-2</v>
      </c>
      <c r="G139" s="42">
        <v>3.2336472384830742E-2</v>
      </c>
      <c r="H139" s="42">
        <v>3.2914413248288789E-2</v>
      </c>
      <c r="I139" s="42">
        <v>3.2523731467436513E-2</v>
      </c>
      <c r="J139" s="42">
        <v>3.3621449352807316E-2</v>
      </c>
      <c r="K139" s="42">
        <v>3.3560424247116194E-2</v>
      </c>
      <c r="L139" s="42">
        <v>3.3132433477605215E-2</v>
      </c>
      <c r="M139" s="42">
        <v>3.2021030829118259E-2</v>
      </c>
      <c r="N139" s="32">
        <v>0</v>
      </c>
      <c r="O139" s="41">
        <f>B139*'1-Data Input'!$D$2</f>
        <v>0</v>
      </c>
      <c r="P139" s="41">
        <f>C139*'1-Data Input'!$D$3</f>
        <v>0</v>
      </c>
      <c r="Q139" s="41">
        <f>D139*'1-Data Input'!$D$4</f>
        <v>0</v>
      </c>
      <c r="R139" s="41">
        <f>E139*'1-Data Input'!$D$5</f>
        <v>0</v>
      </c>
      <c r="S139" s="41">
        <f>F139*'1-Data Input'!$D$6</f>
        <v>0</v>
      </c>
      <c r="T139" s="41">
        <f>G139*'1-Data Input'!$D$7</f>
        <v>0</v>
      </c>
      <c r="U139" s="41">
        <f>H139*'1-Data Input'!$D$8</f>
        <v>0</v>
      </c>
      <c r="V139" s="41">
        <f>I139*'1-Data Input'!$D$9</f>
        <v>0</v>
      </c>
      <c r="W139" s="41">
        <f>J139*'1-Data Input'!$D$10</f>
        <v>0</v>
      </c>
      <c r="X139" s="41">
        <f>K139*'1-Data Input'!$D$11</f>
        <v>0</v>
      </c>
      <c r="Y139" s="41">
        <f>L139*'1-Data Input'!$D$12</f>
        <v>0</v>
      </c>
      <c r="Z139" s="41">
        <f>M139*'1-Data Input'!$D$13</f>
        <v>0</v>
      </c>
    </row>
    <row r="140" spans="1:26" x14ac:dyDescent="0.25">
      <c r="A140" s="32">
        <v>4.1666666666666699E-2</v>
      </c>
      <c r="B140" s="42">
        <v>3.2567815173515917E-2</v>
      </c>
      <c r="C140" s="42">
        <v>3.3645721521014076E-2</v>
      </c>
      <c r="D140" s="42">
        <v>3.3495587343903267E-2</v>
      </c>
      <c r="E140" s="42">
        <v>3.2637971848504449E-2</v>
      </c>
      <c r="F140" s="42">
        <v>3.217470997221878E-2</v>
      </c>
      <c r="G140" s="42">
        <v>3.1574446424026473E-2</v>
      </c>
      <c r="H140" s="42">
        <v>3.2210666381574826E-2</v>
      </c>
      <c r="I140" s="42">
        <v>3.2110877330332244E-2</v>
      </c>
      <c r="J140" s="42">
        <v>3.3563700384492627E-2</v>
      </c>
      <c r="K140" s="42">
        <v>3.306804985677788E-2</v>
      </c>
      <c r="L140" s="42">
        <v>3.2605556859612715E-2</v>
      </c>
      <c r="M140" s="42">
        <v>3.2396939966906971E-2</v>
      </c>
      <c r="N140" s="32">
        <v>4.1666666666666699E-2</v>
      </c>
      <c r="O140" s="20">
        <f>B140*'1-Data Input'!$D$2</f>
        <v>0</v>
      </c>
      <c r="P140" s="20">
        <f>C140*'1-Data Input'!$D$3</f>
        <v>0</v>
      </c>
      <c r="Q140" s="20">
        <f>D140*'1-Data Input'!$D$4</f>
        <v>0</v>
      </c>
      <c r="R140" s="20">
        <f>E140*'1-Data Input'!$D$5</f>
        <v>0</v>
      </c>
      <c r="S140" s="20">
        <f>F140*'1-Data Input'!$D$6</f>
        <v>0</v>
      </c>
      <c r="T140" s="20">
        <f>G140*'1-Data Input'!$D$7</f>
        <v>0</v>
      </c>
      <c r="U140" s="20">
        <f>H140*'1-Data Input'!$D$8</f>
        <v>0</v>
      </c>
      <c r="V140" s="20">
        <f>I140*'1-Data Input'!$D$9</f>
        <v>0</v>
      </c>
      <c r="W140" s="20">
        <f>J140*'1-Data Input'!$D$10</f>
        <v>0</v>
      </c>
      <c r="X140" s="20">
        <f>K140*'1-Data Input'!$D$11</f>
        <v>0</v>
      </c>
      <c r="Y140" s="20">
        <f>L140*'1-Data Input'!$D$12</f>
        <v>0</v>
      </c>
      <c r="Z140" s="21">
        <f>M140*'1-Data Input'!$D$13</f>
        <v>0</v>
      </c>
    </row>
    <row r="141" spans="1:26" x14ac:dyDescent="0.25">
      <c r="A141" s="32">
        <v>8.3333333333333301E-2</v>
      </c>
      <c r="B141" s="42">
        <v>3.2911754408384133E-2</v>
      </c>
      <c r="C141" s="42">
        <v>3.224335636408307E-2</v>
      </c>
      <c r="D141" s="42">
        <v>3.210064764381531E-2</v>
      </c>
      <c r="E141" s="42">
        <v>3.2914375371226698E-2</v>
      </c>
      <c r="F141" s="42">
        <v>3.1324898343001652E-2</v>
      </c>
      <c r="G141" s="42">
        <v>3.1224230083990834E-2</v>
      </c>
      <c r="H141" s="42">
        <v>3.2099339193620076E-2</v>
      </c>
      <c r="I141" s="42">
        <v>3.2058451408160271E-2</v>
      </c>
      <c r="J141" s="42">
        <v>3.2462620055292712E-2</v>
      </c>
      <c r="K141" s="42">
        <v>3.3560424247116194E-2</v>
      </c>
      <c r="L141" s="42">
        <v>3.178146779044496E-2</v>
      </c>
      <c r="M141" s="42">
        <v>3.204935192908883E-2</v>
      </c>
      <c r="N141" s="32">
        <v>8.3333333333333301E-2</v>
      </c>
      <c r="O141" s="20">
        <f>B141*'1-Data Input'!$D$2</f>
        <v>0</v>
      </c>
      <c r="P141" s="20">
        <f>C141*'1-Data Input'!$D$3</f>
        <v>0</v>
      </c>
      <c r="Q141" s="20">
        <f>D141*'1-Data Input'!$D$4</f>
        <v>0</v>
      </c>
      <c r="R141" s="20">
        <f>E141*'1-Data Input'!$D$5</f>
        <v>0</v>
      </c>
      <c r="S141" s="20">
        <f>F141*'1-Data Input'!$D$6</f>
        <v>0</v>
      </c>
      <c r="T141" s="20">
        <f>G141*'1-Data Input'!$D$7</f>
        <v>0</v>
      </c>
      <c r="U141" s="20">
        <f>H141*'1-Data Input'!$D$8</f>
        <v>0</v>
      </c>
      <c r="V141" s="20">
        <f>I141*'1-Data Input'!$D$9</f>
        <v>0</v>
      </c>
      <c r="W141" s="20">
        <f>J141*'1-Data Input'!$D$10</f>
        <v>0</v>
      </c>
      <c r="X141" s="20">
        <f>K141*'1-Data Input'!$D$11</f>
        <v>0</v>
      </c>
      <c r="Y141" s="20">
        <f>L141*'1-Data Input'!$D$12</f>
        <v>0</v>
      </c>
      <c r="Z141" s="21">
        <f>M141*'1-Data Input'!$D$13</f>
        <v>0</v>
      </c>
    </row>
    <row r="142" spans="1:26" x14ac:dyDescent="0.25">
      <c r="A142" s="32">
        <v>0.125</v>
      </c>
      <c r="B142" s="42">
        <v>3.2572090661242184E-2</v>
      </c>
      <c r="C142" s="42">
        <v>3.3692651063667277E-2</v>
      </c>
      <c r="D142" s="42">
        <v>3.3203161043138564E-2</v>
      </c>
      <c r="E142" s="42">
        <v>3.3259879774629506E-2</v>
      </c>
      <c r="F142" s="42">
        <v>2.9766997684821224E-2</v>
      </c>
      <c r="G142" s="42">
        <v>3.1878340544667851E-2</v>
      </c>
      <c r="H142" s="42">
        <v>3.1708368712112314E-2</v>
      </c>
      <c r="I142" s="42">
        <v>3.135725469911016E-2</v>
      </c>
      <c r="J142" s="42">
        <v>3.1917854787524222E-2</v>
      </c>
      <c r="K142" s="42">
        <v>3.2596578152821853E-2</v>
      </c>
      <c r="L142" s="42">
        <v>3.3214757949166542E-2</v>
      </c>
      <c r="M142" s="42">
        <v>3.1809012319246779E-2</v>
      </c>
      <c r="N142" s="32">
        <v>0.125</v>
      </c>
      <c r="O142" s="20">
        <f>B142*'1-Data Input'!$D$2</f>
        <v>0</v>
      </c>
      <c r="P142" s="20">
        <f>C142*'1-Data Input'!$D$3</f>
        <v>0</v>
      </c>
      <c r="Q142" s="20">
        <f>D142*'1-Data Input'!$D$4</f>
        <v>0</v>
      </c>
      <c r="R142" s="20">
        <f>E142*'1-Data Input'!$D$5</f>
        <v>0</v>
      </c>
      <c r="S142" s="20">
        <f>F142*'1-Data Input'!$D$6</f>
        <v>0</v>
      </c>
      <c r="T142" s="20">
        <f>G142*'1-Data Input'!$D$7</f>
        <v>0</v>
      </c>
      <c r="U142" s="20">
        <f>H142*'1-Data Input'!$D$8</f>
        <v>0</v>
      </c>
      <c r="V142" s="20">
        <f>I142*'1-Data Input'!$D$9</f>
        <v>0</v>
      </c>
      <c r="W142" s="20">
        <f>J142*'1-Data Input'!$D$10</f>
        <v>0</v>
      </c>
      <c r="X142" s="20">
        <f>K142*'1-Data Input'!$D$11</f>
        <v>0</v>
      </c>
      <c r="Y142" s="20">
        <f>L142*'1-Data Input'!$D$12</f>
        <v>0</v>
      </c>
      <c r="Z142" s="21">
        <f>M142*'1-Data Input'!$D$13</f>
        <v>0</v>
      </c>
    </row>
    <row r="143" spans="1:26" x14ac:dyDescent="0.25">
      <c r="A143" s="32">
        <v>0.16666666666666699</v>
      </c>
      <c r="B143" s="42">
        <v>3.5024795453541362E-2</v>
      </c>
      <c r="C143" s="42">
        <v>3.5837607219051916E-2</v>
      </c>
      <c r="D143" s="42">
        <v>3.5426168747010087E-2</v>
      </c>
      <c r="E143" s="42">
        <v>3.5497528881373606E-2</v>
      </c>
      <c r="F143" s="42">
        <v>3.3512011144586094E-2</v>
      </c>
      <c r="G143" s="42">
        <v>3.4445405955713923E-2</v>
      </c>
      <c r="H143" s="42">
        <v>3.4230459648753889E-2</v>
      </c>
      <c r="I143" s="42">
        <v>3.2624651367617552E-2</v>
      </c>
      <c r="J143" s="42">
        <v>3.3457442282793612E-2</v>
      </c>
      <c r="K143" s="42">
        <v>3.3667260199736773E-2</v>
      </c>
      <c r="L143" s="42">
        <v>3.3319879966698697E-2</v>
      </c>
      <c r="M143" s="42">
        <v>3.3039966844206452E-2</v>
      </c>
      <c r="N143" s="32">
        <v>0.16666666666666699</v>
      </c>
      <c r="O143" s="20">
        <f>B143*'1-Data Input'!$D$2</f>
        <v>0</v>
      </c>
      <c r="P143" s="20">
        <f>C143*'1-Data Input'!$D$3</f>
        <v>0</v>
      </c>
      <c r="Q143" s="20">
        <f>D143*'1-Data Input'!$D$4</f>
        <v>0</v>
      </c>
      <c r="R143" s="20">
        <f>E143*'1-Data Input'!$D$5</f>
        <v>0</v>
      </c>
      <c r="S143" s="20">
        <f>F143*'1-Data Input'!$D$6</f>
        <v>0</v>
      </c>
      <c r="T143" s="20">
        <f>G143*'1-Data Input'!$D$7</f>
        <v>0</v>
      </c>
      <c r="U143" s="20">
        <f>H143*'1-Data Input'!$D$8</f>
        <v>0</v>
      </c>
      <c r="V143" s="20">
        <f>I143*'1-Data Input'!$D$9</f>
        <v>0</v>
      </c>
      <c r="W143" s="20">
        <f>J143*'1-Data Input'!$D$10</f>
        <v>0</v>
      </c>
      <c r="X143" s="20">
        <f>K143*'1-Data Input'!$D$11</f>
        <v>0</v>
      </c>
      <c r="Y143" s="20">
        <f>L143*'1-Data Input'!$D$12</f>
        <v>0</v>
      </c>
      <c r="Z143" s="21">
        <f>M143*'1-Data Input'!$D$13</f>
        <v>0</v>
      </c>
    </row>
    <row r="144" spans="1:26" x14ac:dyDescent="0.25">
      <c r="A144" s="32">
        <v>0.20833333333333301</v>
      </c>
      <c r="B144" s="42">
        <v>4.1358217938711354E-2</v>
      </c>
      <c r="C144" s="42">
        <v>4.2595461361113161E-2</v>
      </c>
      <c r="D144" s="42">
        <v>4.348539974154815E-2</v>
      </c>
      <c r="E144" s="42">
        <v>4.290351738725505E-2</v>
      </c>
      <c r="F144" s="42">
        <v>4.4387789912418006E-2</v>
      </c>
      <c r="G144" s="42">
        <v>4.7045049630949347E-2</v>
      </c>
      <c r="H144" s="42">
        <v>4.2604738120461325E-2</v>
      </c>
      <c r="I144" s="42">
        <v>4.3487302441649944E-2</v>
      </c>
      <c r="J144" s="42">
        <v>4.2310744118556322E-2</v>
      </c>
      <c r="K144" s="42">
        <v>4.2293102113493838E-2</v>
      </c>
      <c r="L144" s="42">
        <v>4.2437209647921456E-2</v>
      </c>
      <c r="M144" s="42">
        <v>4.2852682348140339E-2</v>
      </c>
      <c r="N144" s="32">
        <v>0.20833333333333301</v>
      </c>
      <c r="O144" s="20">
        <f>B144*'1-Data Input'!$D$2</f>
        <v>0</v>
      </c>
      <c r="P144" s="20">
        <f>C144*'1-Data Input'!$D$3</f>
        <v>0</v>
      </c>
      <c r="Q144" s="20">
        <f>D144*'1-Data Input'!$D$4</f>
        <v>0</v>
      </c>
      <c r="R144" s="20">
        <f>E144*'1-Data Input'!$D$5</f>
        <v>0</v>
      </c>
      <c r="S144" s="20">
        <f>F144*'1-Data Input'!$D$6</f>
        <v>0</v>
      </c>
      <c r="T144" s="20">
        <f>G144*'1-Data Input'!$D$7</f>
        <v>0</v>
      </c>
      <c r="U144" s="20">
        <f>H144*'1-Data Input'!$D$8</f>
        <v>0</v>
      </c>
      <c r="V144" s="20">
        <f>I144*'1-Data Input'!$D$9</f>
        <v>0</v>
      </c>
      <c r="W144" s="20">
        <f>J144*'1-Data Input'!$D$10</f>
        <v>0</v>
      </c>
      <c r="X144" s="20">
        <f>K144*'1-Data Input'!$D$11</f>
        <v>0</v>
      </c>
      <c r="Y144" s="20">
        <f>L144*'1-Data Input'!$D$12</f>
        <v>0</v>
      </c>
      <c r="Z144" s="21">
        <f>M144*'1-Data Input'!$D$13</f>
        <v>0</v>
      </c>
    </row>
    <row r="145" spans="1:26" x14ac:dyDescent="0.25">
      <c r="A145" s="32">
        <v>0.25</v>
      </c>
      <c r="B145" s="42">
        <v>5.0856926503890933E-2</v>
      </c>
      <c r="C145" s="42">
        <v>4.9828132052371521E-2</v>
      </c>
      <c r="D145" s="42">
        <v>4.7512176148518499E-2</v>
      </c>
      <c r="E145" s="42">
        <v>4.7290915215759878E-2</v>
      </c>
      <c r="F145" s="42">
        <v>5.3154763539765323E-2</v>
      </c>
      <c r="G145" s="42">
        <v>5.298294731483838E-2</v>
      </c>
      <c r="H145" s="42">
        <v>4.9494212311550032E-2</v>
      </c>
      <c r="I145" s="42">
        <v>5.105629495522826E-2</v>
      </c>
      <c r="J145" s="42">
        <v>4.8820977813231366E-2</v>
      </c>
      <c r="K145" s="42">
        <v>5.0607726252225746E-2</v>
      </c>
      <c r="L145" s="42">
        <v>5.0933517289827743E-2</v>
      </c>
      <c r="M145" s="42">
        <v>5.2680363864535736E-2</v>
      </c>
      <c r="N145" s="32">
        <v>0.25</v>
      </c>
      <c r="O145" s="20">
        <f>B145*'1-Data Input'!$D$2</f>
        <v>0</v>
      </c>
      <c r="P145" s="20">
        <f>C145*'1-Data Input'!$D$3</f>
        <v>0</v>
      </c>
      <c r="Q145" s="20">
        <f>D145*'1-Data Input'!$D$4</f>
        <v>0</v>
      </c>
      <c r="R145" s="20">
        <f>E145*'1-Data Input'!$D$5</f>
        <v>0</v>
      </c>
      <c r="S145" s="20">
        <f>F145*'1-Data Input'!$D$6</f>
        <v>0</v>
      </c>
      <c r="T145" s="20">
        <f>G145*'1-Data Input'!$D$7</f>
        <v>0</v>
      </c>
      <c r="U145" s="20">
        <f>H145*'1-Data Input'!$D$8</f>
        <v>0</v>
      </c>
      <c r="V145" s="20">
        <f>I145*'1-Data Input'!$D$9</f>
        <v>0</v>
      </c>
      <c r="W145" s="20">
        <f>J145*'1-Data Input'!$D$10</f>
        <v>0</v>
      </c>
      <c r="X145" s="20">
        <f>K145*'1-Data Input'!$D$11</f>
        <v>0</v>
      </c>
      <c r="Y145" s="20">
        <f>L145*'1-Data Input'!$D$12</f>
        <v>0</v>
      </c>
      <c r="Z145" s="21">
        <f>M145*'1-Data Input'!$D$13</f>
        <v>0</v>
      </c>
    </row>
    <row r="146" spans="1:26" x14ac:dyDescent="0.25">
      <c r="A146" s="32">
        <v>0.29166666666666702</v>
      </c>
      <c r="B146" s="42">
        <v>5.0114416802096697E-2</v>
      </c>
      <c r="C146" s="42">
        <v>4.9513428060461807E-2</v>
      </c>
      <c r="D146" s="42">
        <v>4.9723827491195284E-2</v>
      </c>
      <c r="E146" s="42">
        <v>5.0197725056741471E-2</v>
      </c>
      <c r="F146" s="42">
        <v>5.0334037227408264E-2</v>
      </c>
      <c r="G146" s="42">
        <v>4.9533214558411809E-2</v>
      </c>
      <c r="H146" s="42">
        <v>4.8718897966865148E-2</v>
      </c>
      <c r="I146" s="42">
        <v>4.8782320581019015E-2</v>
      </c>
      <c r="J146" s="42">
        <v>4.6915261858846889E-2</v>
      </c>
      <c r="K146" s="42">
        <v>4.9102732832701085E-2</v>
      </c>
      <c r="L146" s="42">
        <v>5.0433237808801205E-2</v>
      </c>
      <c r="M146" s="42">
        <v>5.0744759586179689E-2</v>
      </c>
      <c r="N146" s="32">
        <v>0.29166666666666702</v>
      </c>
      <c r="O146" s="20">
        <f>B146*'1-Data Input'!$D$2</f>
        <v>0</v>
      </c>
      <c r="P146" s="20">
        <f>C146*'1-Data Input'!$D$3</f>
        <v>0</v>
      </c>
      <c r="Q146" s="20">
        <f>D146*'1-Data Input'!$D$4</f>
        <v>0</v>
      </c>
      <c r="R146" s="20">
        <f>E146*'1-Data Input'!$D$5</f>
        <v>0</v>
      </c>
      <c r="S146" s="20">
        <f>F146*'1-Data Input'!$D$6</f>
        <v>0</v>
      </c>
      <c r="T146" s="20">
        <f>G146*'1-Data Input'!$D$7</f>
        <v>0</v>
      </c>
      <c r="U146" s="20">
        <f>H146*'1-Data Input'!$D$8</f>
        <v>0</v>
      </c>
      <c r="V146" s="20">
        <f>I146*'1-Data Input'!$D$9</f>
        <v>0</v>
      </c>
      <c r="W146" s="20">
        <f>J146*'1-Data Input'!$D$10</f>
        <v>0</v>
      </c>
      <c r="X146" s="20">
        <f>K146*'1-Data Input'!$D$11</f>
        <v>0</v>
      </c>
      <c r="Y146" s="20">
        <f>L146*'1-Data Input'!$D$12</f>
        <v>0</v>
      </c>
      <c r="Z146" s="21">
        <f>M146*'1-Data Input'!$D$13</f>
        <v>0</v>
      </c>
    </row>
    <row r="147" spans="1:26" x14ac:dyDescent="0.25">
      <c r="A147" s="32">
        <v>0.33333333333333298</v>
      </c>
      <c r="B147" s="42">
        <v>5.2417479523976691E-2</v>
      </c>
      <c r="C147" s="42">
        <v>5.1015173425364303E-2</v>
      </c>
      <c r="D147" s="42">
        <v>4.9097334898618457E-2</v>
      </c>
      <c r="E147" s="42">
        <v>5.0829794877084271E-2</v>
      </c>
      <c r="F147" s="42">
        <v>4.9922509378443357E-2</v>
      </c>
      <c r="G147" s="42">
        <v>4.9926189870195974E-2</v>
      </c>
      <c r="H147" s="42">
        <v>4.7181522514156679E-2</v>
      </c>
      <c r="I147" s="42">
        <v>4.7489147834110401E-2</v>
      </c>
      <c r="J147" s="42">
        <v>4.7816145764555923E-2</v>
      </c>
      <c r="K147" s="42">
        <v>4.9214213826739947E-2</v>
      </c>
      <c r="L147" s="42">
        <v>5.0011061031563629E-2</v>
      </c>
      <c r="M147" s="42">
        <v>5.0801297855478753E-2</v>
      </c>
      <c r="N147" s="32">
        <v>0.33333333333333298</v>
      </c>
      <c r="O147" s="20">
        <f>B147*'1-Data Input'!$D$2</f>
        <v>0</v>
      </c>
      <c r="P147" s="20">
        <f>C147*'1-Data Input'!$D$3</f>
        <v>0</v>
      </c>
      <c r="Q147" s="20">
        <f>D147*'1-Data Input'!$D$4</f>
        <v>0</v>
      </c>
      <c r="R147" s="20">
        <f>E147*'1-Data Input'!$D$5</f>
        <v>0</v>
      </c>
      <c r="S147" s="20">
        <f>F147*'1-Data Input'!$D$6</f>
        <v>0</v>
      </c>
      <c r="T147" s="20">
        <f>G147*'1-Data Input'!$D$7</f>
        <v>0</v>
      </c>
      <c r="U147" s="20">
        <f>H147*'1-Data Input'!$D$8</f>
        <v>0</v>
      </c>
      <c r="V147" s="20">
        <f>I147*'1-Data Input'!$D$9</f>
        <v>0</v>
      </c>
      <c r="W147" s="20">
        <f>J147*'1-Data Input'!$D$10</f>
        <v>0</v>
      </c>
      <c r="X147" s="20">
        <f>K147*'1-Data Input'!$D$11</f>
        <v>0</v>
      </c>
      <c r="Y147" s="20">
        <f>L147*'1-Data Input'!$D$12</f>
        <v>0</v>
      </c>
      <c r="Z147" s="21">
        <f>M147*'1-Data Input'!$D$13</f>
        <v>0</v>
      </c>
    </row>
    <row r="148" spans="1:26" x14ac:dyDescent="0.25">
      <c r="A148" s="32">
        <v>0.375</v>
      </c>
      <c r="B148" s="42">
        <v>4.8947208652827069E-2</v>
      </c>
      <c r="C148" s="42">
        <v>5.2050383925067313E-2</v>
      </c>
      <c r="D148" s="42">
        <v>5.2572854605927179E-2</v>
      </c>
      <c r="E148" s="42">
        <v>5.1513182263226591E-2</v>
      </c>
      <c r="F148" s="42">
        <v>5.2940196880545652E-2</v>
      </c>
      <c r="G148" s="42">
        <v>4.939424790022906E-2</v>
      </c>
      <c r="H148" s="42">
        <v>4.9626744678162832E-2</v>
      </c>
      <c r="I148" s="42">
        <v>4.9024790471064388E-2</v>
      </c>
      <c r="J148" s="42">
        <v>4.841096013819713E-2</v>
      </c>
      <c r="K148" s="42">
        <v>4.8354881164357037E-2</v>
      </c>
      <c r="L148" s="42">
        <v>4.9806305294603406E-2</v>
      </c>
      <c r="M148" s="42">
        <v>5.2144081751331423E-2</v>
      </c>
      <c r="N148" s="32">
        <v>0.375</v>
      </c>
      <c r="O148" s="20">
        <f>B148*'1-Data Input'!$D$2</f>
        <v>0</v>
      </c>
      <c r="P148" s="20">
        <f>C148*'1-Data Input'!$D$3</f>
        <v>0</v>
      </c>
      <c r="Q148" s="20">
        <f>D148*'1-Data Input'!$D$4</f>
        <v>0</v>
      </c>
      <c r="R148" s="20">
        <f>E148*'1-Data Input'!$D$5</f>
        <v>0</v>
      </c>
      <c r="S148" s="20">
        <f>F148*'1-Data Input'!$D$6</f>
        <v>0</v>
      </c>
      <c r="T148" s="20">
        <f>G148*'1-Data Input'!$D$7</f>
        <v>0</v>
      </c>
      <c r="U148" s="20">
        <f>H148*'1-Data Input'!$D$8</f>
        <v>0</v>
      </c>
      <c r="V148" s="20">
        <f>I148*'1-Data Input'!$D$9</f>
        <v>0</v>
      </c>
      <c r="W148" s="20">
        <f>J148*'1-Data Input'!$D$10</f>
        <v>0</v>
      </c>
      <c r="X148" s="20">
        <f>K148*'1-Data Input'!$D$11</f>
        <v>0</v>
      </c>
      <c r="Y148" s="20">
        <f>L148*'1-Data Input'!$D$12</f>
        <v>0</v>
      </c>
      <c r="Z148" s="21">
        <f>M148*'1-Data Input'!$D$13</f>
        <v>0</v>
      </c>
    </row>
    <row r="149" spans="1:26" x14ac:dyDescent="0.25">
      <c r="A149" s="32">
        <v>0.41666666666666702</v>
      </c>
      <c r="B149" s="42">
        <v>5.2634104235440654E-2</v>
      </c>
      <c r="C149" s="42">
        <v>5.1677708145174236E-2</v>
      </c>
      <c r="D149" s="42">
        <v>5.2046203355520827E-2</v>
      </c>
      <c r="E149" s="42">
        <v>5.2075643108177937E-2</v>
      </c>
      <c r="F149" s="42">
        <v>5.2090182807483107E-2</v>
      </c>
      <c r="G149" s="42">
        <v>5.0180707559175364E-2</v>
      </c>
      <c r="H149" s="42">
        <v>5.066977440340556E-2</v>
      </c>
      <c r="I149" s="42">
        <v>5.1309250029708021E-2</v>
      </c>
      <c r="J149" s="42">
        <v>4.9197501086643086E-2</v>
      </c>
      <c r="K149" s="42">
        <v>5.0324378725710286E-2</v>
      </c>
      <c r="L149" s="42">
        <v>4.9794906521617992E-2</v>
      </c>
      <c r="M149" s="42">
        <v>5.2126621403459646E-2</v>
      </c>
      <c r="N149" s="32">
        <v>0.41666666666666702</v>
      </c>
      <c r="O149" s="20">
        <f>B149*'1-Data Input'!$D$2</f>
        <v>0</v>
      </c>
      <c r="P149" s="20">
        <f>C149*'1-Data Input'!$D$3</f>
        <v>0</v>
      </c>
      <c r="Q149" s="20">
        <f>D149*'1-Data Input'!$D$4</f>
        <v>0</v>
      </c>
      <c r="R149" s="20">
        <f>E149*'1-Data Input'!$D$5</f>
        <v>0</v>
      </c>
      <c r="S149" s="20">
        <f>F149*'1-Data Input'!$D$6</f>
        <v>0</v>
      </c>
      <c r="T149" s="20">
        <f>G149*'1-Data Input'!$D$7</f>
        <v>0</v>
      </c>
      <c r="U149" s="20">
        <f>H149*'1-Data Input'!$D$8</f>
        <v>0</v>
      </c>
      <c r="V149" s="20">
        <f>I149*'1-Data Input'!$D$9</f>
        <v>0</v>
      </c>
      <c r="W149" s="20">
        <f>J149*'1-Data Input'!$D$10</f>
        <v>0</v>
      </c>
      <c r="X149" s="20">
        <f>K149*'1-Data Input'!$D$11</f>
        <v>0</v>
      </c>
      <c r="Y149" s="20">
        <f>L149*'1-Data Input'!$D$12</f>
        <v>0</v>
      </c>
      <c r="Z149" s="21">
        <f>M149*'1-Data Input'!$D$13</f>
        <v>0</v>
      </c>
    </row>
    <row r="150" spans="1:26" x14ac:dyDescent="0.25">
      <c r="A150" s="32">
        <v>0.45833333333333298</v>
      </c>
      <c r="B150" s="42">
        <v>5.1077826703081149E-2</v>
      </c>
      <c r="C150" s="42">
        <v>4.9818930181263051E-2</v>
      </c>
      <c r="D150" s="42">
        <v>5.3024743145134778E-2</v>
      </c>
      <c r="E150" s="42">
        <v>5.1358213376406212E-2</v>
      </c>
      <c r="F150" s="42">
        <v>5.2112189644326151E-2</v>
      </c>
      <c r="G150" s="42">
        <v>5.0740646474930005E-2</v>
      </c>
      <c r="H150" s="42">
        <v>5.0795238377132346E-2</v>
      </c>
      <c r="I150" s="42">
        <v>5.1954088872423261E-2</v>
      </c>
      <c r="J150" s="42">
        <v>5.0033706147839668E-2</v>
      </c>
      <c r="K150" s="42">
        <v>5.0801269644654326E-2</v>
      </c>
      <c r="L150" s="42">
        <v>5.0137714064734898E-2</v>
      </c>
      <c r="M150" s="42">
        <v>5.2588904899493145E-2</v>
      </c>
      <c r="N150" s="32">
        <v>0.45833333333333298</v>
      </c>
      <c r="O150" s="20">
        <f>B150*'1-Data Input'!$D$2</f>
        <v>0</v>
      </c>
      <c r="P150" s="20">
        <f>C150*'1-Data Input'!$D$3</f>
        <v>0</v>
      </c>
      <c r="Q150" s="20">
        <f>D150*'1-Data Input'!$D$4</f>
        <v>0</v>
      </c>
      <c r="R150" s="20">
        <f>E150*'1-Data Input'!$D$5</f>
        <v>0</v>
      </c>
      <c r="S150" s="20">
        <f>F150*'1-Data Input'!$D$6</f>
        <v>0</v>
      </c>
      <c r="T150" s="20">
        <f>G150*'1-Data Input'!$D$7</f>
        <v>0</v>
      </c>
      <c r="U150" s="20">
        <f>H150*'1-Data Input'!$D$8</f>
        <v>0</v>
      </c>
      <c r="V150" s="20">
        <f>I150*'1-Data Input'!$D$9</f>
        <v>0</v>
      </c>
      <c r="W150" s="20">
        <f>J150*'1-Data Input'!$D$10</f>
        <v>0</v>
      </c>
      <c r="X150" s="20">
        <f>K150*'1-Data Input'!$D$11</f>
        <v>0</v>
      </c>
      <c r="Y150" s="20">
        <f>L150*'1-Data Input'!$D$12</f>
        <v>0</v>
      </c>
      <c r="Z150" s="21">
        <f>M150*'1-Data Input'!$D$13</f>
        <v>0</v>
      </c>
    </row>
    <row r="151" spans="1:26" x14ac:dyDescent="0.25">
      <c r="A151" s="32">
        <v>0.5</v>
      </c>
      <c r="B151" s="42">
        <v>5.1605136855986847E-2</v>
      </c>
      <c r="C151" s="42">
        <v>5.0352638705554377E-2</v>
      </c>
      <c r="D151" s="42">
        <v>5.2083111529403758E-2</v>
      </c>
      <c r="E151" s="42">
        <v>5.0651961728273992E-2</v>
      </c>
      <c r="F151" s="42">
        <v>5.1628039233779205E-2</v>
      </c>
      <c r="G151" s="42">
        <v>5.0577755153983203E-2</v>
      </c>
      <c r="H151" s="42">
        <v>5.1866541673919138E-2</v>
      </c>
      <c r="I151" s="42">
        <v>5.1233232442558667E-2</v>
      </c>
      <c r="J151" s="42">
        <v>5.0564996656334731E-2</v>
      </c>
      <c r="K151" s="42">
        <v>4.9760006193388544E-2</v>
      </c>
      <c r="L151" s="42">
        <v>5.1034839716364758E-2</v>
      </c>
      <c r="M151" s="42">
        <v>5.1121404233127832E-2</v>
      </c>
      <c r="N151" s="32">
        <v>0.5</v>
      </c>
      <c r="O151" s="20">
        <f>B151*'1-Data Input'!$D$2</f>
        <v>0</v>
      </c>
      <c r="P151" s="20">
        <f>C151*'1-Data Input'!$D$3</f>
        <v>0</v>
      </c>
      <c r="Q151" s="20">
        <f>D151*'1-Data Input'!$D$4</f>
        <v>0</v>
      </c>
      <c r="R151" s="20">
        <f>E151*'1-Data Input'!$D$5</f>
        <v>0</v>
      </c>
      <c r="S151" s="20">
        <f>F151*'1-Data Input'!$D$6</f>
        <v>0</v>
      </c>
      <c r="T151" s="20">
        <f>G151*'1-Data Input'!$D$7</f>
        <v>0</v>
      </c>
      <c r="U151" s="20">
        <f>H151*'1-Data Input'!$D$8</f>
        <v>0</v>
      </c>
      <c r="V151" s="20">
        <f>I151*'1-Data Input'!$D$9</f>
        <v>0</v>
      </c>
      <c r="W151" s="20">
        <f>J151*'1-Data Input'!$D$10</f>
        <v>0</v>
      </c>
      <c r="X151" s="20">
        <f>K151*'1-Data Input'!$D$11</f>
        <v>0</v>
      </c>
      <c r="Y151" s="20">
        <f>L151*'1-Data Input'!$D$12</f>
        <v>0</v>
      </c>
      <c r="Z151" s="21">
        <f>M151*'1-Data Input'!$D$13</f>
        <v>0</v>
      </c>
    </row>
    <row r="152" spans="1:26" x14ac:dyDescent="0.25">
      <c r="A152" s="32">
        <v>0.54166666666666696</v>
      </c>
      <c r="B152" s="42">
        <v>4.9173809502318977E-2</v>
      </c>
      <c r="C152" s="42">
        <v>4.8657654047373988E-2</v>
      </c>
      <c r="D152" s="42">
        <v>4.9712471130000532E-2</v>
      </c>
      <c r="E152" s="42">
        <v>4.9722148407351723E-2</v>
      </c>
      <c r="F152" s="42">
        <v>5.2565530483292836E-2</v>
      </c>
      <c r="G152" s="42">
        <v>5.0156273861033343E-2</v>
      </c>
      <c r="H152" s="42">
        <v>5.1464968603082362E-2</v>
      </c>
      <c r="I152" s="42">
        <v>5.1251581515318854E-2</v>
      </c>
      <c r="J152" s="42">
        <v>4.9955167550931705E-2</v>
      </c>
      <c r="K152" s="42">
        <v>4.8457072075559326E-2</v>
      </c>
      <c r="L152" s="42">
        <v>4.939974905812361E-2</v>
      </c>
      <c r="M152" s="42">
        <v>5.0460405349410896E-2</v>
      </c>
      <c r="N152" s="32">
        <v>0.54166666666666696</v>
      </c>
      <c r="O152" s="20">
        <f>B152*'1-Data Input'!$D$2</f>
        <v>0</v>
      </c>
      <c r="P152" s="20">
        <f>C152*'1-Data Input'!$D$3</f>
        <v>0</v>
      </c>
      <c r="Q152" s="20">
        <f>D152*'1-Data Input'!$D$4</f>
        <v>0</v>
      </c>
      <c r="R152" s="20">
        <f>E152*'1-Data Input'!$D$5</f>
        <v>0</v>
      </c>
      <c r="S152" s="20">
        <f>F152*'1-Data Input'!$D$6</f>
        <v>0</v>
      </c>
      <c r="T152" s="20">
        <f>G152*'1-Data Input'!$D$7</f>
        <v>0</v>
      </c>
      <c r="U152" s="20">
        <f>H152*'1-Data Input'!$D$8</f>
        <v>0</v>
      </c>
      <c r="V152" s="20">
        <f>I152*'1-Data Input'!$D$9</f>
        <v>0</v>
      </c>
      <c r="W152" s="20">
        <f>J152*'1-Data Input'!$D$10</f>
        <v>0</v>
      </c>
      <c r="X152" s="20">
        <f>K152*'1-Data Input'!$D$11</f>
        <v>0</v>
      </c>
      <c r="Y152" s="20">
        <f>L152*'1-Data Input'!$D$12</f>
        <v>0</v>
      </c>
      <c r="Z152" s="21">
        <f>M152*'1-Data Input'!$D$13</f>
        <v>0</v>
      </c>
    </row>
    <row r="153" spans="1:26" x14ac:dyDescent="0.25">
      <c r="A153" s="32">
        <v>0.58333333333333304</v>
      </c>
      <c r="B153" s="42">
        <v>4.7989974456336099E-2</v>
      </c>
      <c r="C153" s="42">
        <v>4.760127924412149E-2</v>
      </c>
      <c r="D153" s="42">
        <v>4.926768031653965E-2</v>
      </c>
      <c r="E153" s="42">
        <v>4.8878711187280148E-2</v>
      </c>
      <c r="F153" s="42">
        <v>5.043967004425487E-2</v>
      </c>
      <c r="G153" s="42">
        <v>4.8236192415372865E-2</v>
      </c>
      <c r="H153" s="42">
        <v>4.9593611586509628E-2</v>
      </c>
      <c r="I153" s="42">
        <v>4.8922123040144275E-2</v>
      </c>
      <c r="J153" s="42">
        <v>4.7554350441529357E-2</v>
      </c>
      <c r="K153" s="42">
        <v>4.6953627003174105E-2</v>
      </c>
      <c r="L153" s="42">
        <v>4.8921844946290677E-2</v>
      </c>
      <c r="M153" s="42">
        <v>4.7117995899672353E-2</v>
      </c>
      <c r="N153" s="32">
        <v>0.58333333333333304</v>
      </c>
      <c r="O153" s="20">
        <f>B153*'1-Data Input'!$D$2</f>
        <v>0</v>
      </c>
      <c r="P153" s="20">
        <f>C153*'1-Data Input'!$D$3</f>
        <v>0</v>
      </c>
      <c r="Q153" s="20">
        <f>D153*'1-Data Input'!$D$4</f>
        <v>0</v>
      </c>
      <c r="R153" s="20">
        <f>E153*'1-Data Input'!$D$5</f>
        <v>0</v>
      </c>
      <c r="S153" s="20">
        <f>F153*'1-Data Input'!$D$6</f>
        <v>0</v>
      </c>
      <c r="T153" s="20">
        <f>G153*'1-Data Input'!$D$7</f>
        <v>0</v>
      </c>
      <c r="U153" s="20">
        <f>H153*'1-Data Input'!$D$8</f>
        <v>0</v>
      </c>
      <c r="V153" s="20">
        <f>I153*'1-Data Input'!$D$9</f>
        <v>0</v>
      </c>
      <c r="W153" s="20">
        <f>J153*'1-Data Input'!$D$10</f>
        <v>0</v>
      </c>
      <c r="X153" s="20">
        <f>K153*'1-Data Input'!$D$11</f>
        <v>0</v>
      </c>
      <c r="Y153" s="20">
        <f>L153*'1-Data Input'!$D$12</f>
        <v>0</v>
      </c>
      <c r="Z153" s="21">
        <f>M153*'1-Data Input'!$D$13</f>
        <v>0</v>
      </c>
    </row>
    <row r="154" spans="1:26" x14ac:dyDescent="0.25">
      <c r="A154" s="32">
        <v>0.625</v>
      </c>
      <c r="B154" s="42">
        <v>4.667407434503091E-2</v>
      </c>
      <c r="C154" s="42">
        <v>4.6018557413464445E-2</v>
      </c>
      <c r="D154" s="42">
        <v>4.6106826450668686E-2</v>
      </c>
      <c r="E154" s="42">
        <v>4.6140080695601979E-2</v>
      </c>
      <c r="F154" s="42">
        <v>4.8475559856013269E-2</v>
      </c>
      <c r="G154" s="42">
        <v>4.7164672944769663E-2</v>
      </c>
      <c r="H154" s="42">
        <v>4.6962844109245554E-2</v>
      </c>
      <c r="I154" s="42">
        <v>4.6272429557035907E-2</v>
      </c>
      <c r="J154" s="42">
        <v>4.6845963096869274E-2</v>
      </c>
      <c r="K154" s="42">
        <v>4.6131067585352632E-2</v>
      </c>
      <c r="L154" s="42">
        <v>4.6082706119367954E-2</v>
      </c>
      <c r="M154" s="42">
        <v>4.6363459438070929E-2</v>
      </c>
      <c r="N154" s="32">
        <v>0.625</v>
      </c>
      <c r="O154" s="20">
        <f>B154*'1-Data Input'!$D$2</f>
        <v>0</v>
      </c>
      <c r="P154" s="20">
        <f>C154*'1-Data Input'!$D$3</f>
        <v>0</v>
      </c>
      <c r="Q154" s="20">
        <f>D154*'1-Data Input'!$D$4</f>
        <v>0</v>
      </c>
      <c r="R154" s="20">
        <f>E154*'1-Data Input'!$D$5</f>
        <v>0</v>
      </c>
      <c r="S154" s="20">
        <f>F154*'1-Data Input'!$D$6</f>
        <v>0</v>
      </c>
      <c r="T154" s="20">
        <f>G154*'1-Data Input'!$D$7</f>
        <v>0</v>
      </c>
      <c r="U154" s="20">
        <f>H154*'1-Data Input'!$D$8</f>
        <v>0</v>
      </c>
      <c r="V154" s="20">
        <f>I154*'1-Data Input'!$D$9</f>
        <v>0</v>
      </c>
      <c r="W154" s="20">
        <f>J154*'1-Data Input'!$D$10</f>
        <v>0</v>
      </c>
      <c r="X154" s="20">
        <f>K154*'1-Data Input'!$D$11</f>
        <v>0</v>
      </c>
      <c r="Y154" s="20">
        <f>L154*'1-Data Input'!$D$12</f>
        <v>0</v>
      </c>
      <c r="Z154" s="21">
        <f>M154*'1-Data Input'!$D$13</f>
        <v>0</v>
      </c>
    </row>
    <row r="155" spans="1:26" x14ac:dyDescent="0.25">
      <c r="A155" s="32">
        <v>0.66666666666666696</v>
      </c>
      <c r="B155" s="42">
        <v>4.2629462955986699E-2</v>
      </c>
      <c r="C155" s="42">
        <v>4.2954334334343543E-2</v>
      </c>
      <c r="D155" s="42">
        <v>4.3148494359437357E-2</v>
      </c>
      <c r="E155" s="42">
        <v>4.1960493603849729E-2</v>
      </c>
      <c r="F155" s="42">
        <v>4.4147915390828837E-2</v>
      </c>
      <c r="G155" s="42">
        <v>4.4359378976838892E-2</v>
      </c>
      <c r="H155" s="42">
        <v>4.4610394601868358E-2</v>
      </c>
      <c r="I155" s="42">
        <v>4.4430969040745429E-2</v>
      </c>
      <c r="J155" s="42">
        <v>4.5584725628876638E-2</v>
      </c>
      <c r="K155" s="42">
        <v>4.3319656266935035E-2</v>
      </c>
      <c r="L155" s="42">
        <v>4.305696515690622E-2</v>
      </c>
      <c r="M155" s="42">
        <v>4.3361526771831881E-2</v>
      </c>
      <c r="N155" s="32">
        <v>0.66666666666666696</v>
      </c>
      <c r="O155" s="20">
        <f>B155*'1-Data Input'!$D$2</f>
        <v>0</v>
      </c>
      <c r="P155" s="20">
        <f>C155*'1-Data Input'!$D$3</f>
        <v>0</v>
      </c>
      <c r="Q155" s="20">
        <f>D155*'1-Data Input'!$D$4</f>
        <v>0</v>
      </c>
      <c r="R155" s="20">
        <f>E155*'1-Data Input'!$D$5</f>
        <v>0</v>
      </c>
      <c r="S155" s="20">
        <f>F155*'1-Data Input'!$D$6</f>
        <v>0</v>
      </c>
      <c r="T155" s="20">
        <f>G155*'1-Data Input'!$D$7</f>
        <v>0</v>
      </c>
      <c r="U155" s="20">
        <f>H155*'1-Data Input'!$D$8</f>
        <v>0</v>
      </c>
      <c r="V155" s="20">
        <f>I155*'1-Data Input'!$D$9</f>
        <v>0</v>
      </c>
      <c r="W155" s="20">
        <f>J155*'1-Data Input'!$D$10</f>
        <v>0</v>
      </c>
      <c r="X155" s="20">
        <f>K155*'1-Data Input'!$D$11</f>
        <v>0</v>
      </c>
      <c r="Y155" s="20">
        <f>L155*'1-Data Input'!$D$12</f>
        <v>0</v>
      </c>
      <c r="Z155" s="21">
        <f>M155*'1-Data Input'!$D$13</f>
        <v>0</v>
      </c>
    </row>
    <row r="156" spans="1:26" x14ac:dyDescent="0.25">
      <c r="A156" s="32">
        <v>0.70833333333333304</v>
      </c>
      <c r="B156" s="42">
        <v>3.9752534770403927E-2</v>
      </c>
      <c r="C156" s="42">
        <v>3.8583445557819722E-2</v>
      </c>
      <c r="D156" s="42">
        <v>3.6463383069463555E-2</v>
      </c>
      <c r="E156" s="42">
        <v>3.7924189220567471E-2</v>
      </c>
      <c r="F156" s="42">
        <v>3.9029125141137003E-2</v>
      </c>
      <c r="G156" s="42">
        <v>3.9725120895902265E-2</v>
      </c>
      <c r="H156" s="42">
        <v>4.0581410656839255E-2</v>
      </c>
      <c r="I156" s="42">
        <v>4.0499024877847602E-2</v>
      </c>
      <c r="J156" s="42">
        <v>4.1764053885177337E-2</v>
      </c>
      <c r="K156" s="42">
        <v>4.0667337617093742E-2</v>
      </c>
      <c r="L156" s="42">
        <v>3.8857150576946789E-2</v>
      </c>
      <c r="M156" s="42">
        <v>3.8296362998745517E-2</v>
      </c>
      <c r="N156" s="32">
        <v>0.70833333333333304</v>
      </c>
      <c r="O156" s="20">
        <f>B156*'1-Data Input'!$D$2</f>
        <v>0</v>
      </c>
      <c r="P156" s="20">
        <f>C156*'1-Data Input'!$D$3</f>
        <v>0</v>
      </c>
      <c r="Q156" s="20">
        <f>D156*'1-Data Input'!$D$4</f>
        <v>0</v>
      </c>
      <c r="R156" s="20">
        <f>E156*'1-Data Input'!$D$5</f>
        <v>0</v>
      </c>
      <c r="S156" s="20">
        <f>F156*'1-Data Input'!$D$6</f>
        <v>0</v>
      </c>
      <c r="T156" s="20">
        <f>G156*'1-Data Input'!$D$7</f>
        <v>0</v>
      </c>
      <c r="U156" s="20">
        <f>H156*'1-Data Input'!$D$8</f>
        <v>0</v>
      </c>
      <c r="V156" s="20">
        <f>I156*'1-Data Input'!$D$9</f>
        <v>0</v>
      </c>
      <c r="W156" s="20">
        <f>J156*'1-Data Input'!$D$10</f>
        <v>0</v>
      </c>
      <c r="X156" s="20">
        <f>K156*'1-Data Input'!$D$11</f>
        <v>0</v>
      </c>
      <c r="Y156" s="20">
        <f>L156*'1-Data Input'!$D$12</f>
        <v>0</v>
      </c>
      <c r="Z156" s="21">
        <f>M156*'1-Data Input'!$D$13</f>
        <v>0</v>
      </c>
    </row>
    <row r="157" spans="1:26" x14ac:dyDescent="0.25">
      <c r="A157" s="32">
        <v>0.75</v>
      </c>
      <c r="B157" s="42">
        <v>3.7417643417672869E-2</v>
      </c>
      <c r="C157" s="42">
        <v>3.7488422895911644E-2</v>
      </c>
      <c r="D157" s="42">
        <v>3.8043810002399037E-2</v>
      </c>
      <c r="E157" s="42">
        <v>3.7687925180005251E-2</v>
      </c>
      <c r="F157" s="42">
        <v>3.5700591068626733E-2</v>
      </c>
      <c r="G157" s="42">
        <v>3.7398829218630698E-2</v>
      </c>
      <c r="H157" s="42">
        <v>3.8268720859445896E-2</v>
      </c>
      <c r="I157" s="42">
        <v>3.8264369945267336E-2</v>
      </c>
      <c r="J157" s="42">
        <v>3.8801531810634206E-2</v>
      </c>
      <c r="K157" s="42">
        <v>3.831578539908647E-2</v>
      </c>
      <c r="L157" s="42">
        <v>3.8964805655142369E-2</v>
      </c>
      <c r="M157" s="42">
        <v>3.7321493575905113E-2</v>
      </c>
      <c r="N157" s="32">
        <v>0.75</v>
      </c>
      <c r="O157" s="20">
        <f>B157*'1-Data Input'!$D$2</f>
        <v>0</v>
      </c>
      <c r="P157" s="20">
        <f>C157*'1-Data Input'!$D$3</f>
        <v>0</v>
      </c>
      <c r="Q157" s="20">
        <f>D157*'1-Data Input'!$D$4</f>
        <v>0</v>
      </c>
      <c r="R157" s="20">
        <f>E157*'1-Data Input'!$D$5</f>
        <v>0</v>
      </c>
      <c r="S157" s="20">
        <f>F157*'1-Data Input'!$D$6</f>
        <v>0</v>
      </c>
      <c r="T157" s="20">
        <f>G157*'1-Data Input'!$D$7</f>
        <v>0</v>
      </c>
      <c r="U157" s="20">
        <f>H157*'1-Data Input'!$D$8</f>
        <v>0</v>
      </c>
      <c r="V157" s="20">
        <f>I157*'1-Data Input'!$D$9</f>
        <v>0</v>
      </c>
      <c r="W157" s="20">
        <f>J157*'1-Data Input'!$D$10</f>
        <v>0</v>
      </c>
      <c r="X157" s="20">
        <f>K157*'1-Data Input'!$D$11</f>
        <v>0</v>
      </c>
      <c r="Y157" s="20">
        <f>L157*'1-Data Input'!$D$12</f>
        <v>0</v>
      </c>
      <c r="Z157" s="21">
        <f>M157*'1-Data Input'!$D$13</f>
        <v>0</v>
      </c>
    </row>
    <row r="158" spans="1:26" x14ac:dyDescent="0.25">
      <c r="A158" s="32">
        <v>0.79166666666666696</v>
      </c>
      <c r="B158" s="42">
        <v>3.7470374432963437E-2</v>
      </c>
      <c r="C158" s="42">
        <v>3.6980479610724037E-2</v>
      </c>
      <c r="D158" s="42">
        <v>3.6272217656018665E-2</v>
      </c>
      <c r="E158" s="42">
        <v>3.6204796718927588E-2</v>
      </c>
      <c r="F158" s="42">
        <v>3.4508920853575938E-2</v>
      </c>
      <c r="G158" s="42">
        <v>3.5648765589208452E-2</v>
      </c>
      <c r="H158" s="42">
        <v>3.7140870419570975E-2</v>
      </c>
      <c r="I158" s="42">
        <v>3.7631326935040788E-2</v>
      </c>
      <c r="J158" s="42">
        <v>3.7717006185684493E-2</v>
      </c>
      <c r="K158" s="42">
        <v>3.8080049547108454E-2</v>
      </c>
      <c r="L158" s="42">
        <v>3.6359552762809264E-2</v>
      </c>
      <c r="M158" s="42">
        <v>3.6023191994868614E-2</v>
      </c>
      <c r="N158" s="32">
        <v>0.79166666666666696</v>
      </c>
      <c r="O158" s="20">
        <f>B158*'1-Data Input'!$D$2</f>
        <v>0</v>
      </c>
      <c r="P158" s="20">
        <f>C158*'1-Data Input'!$D$3</f>
        <v>0</v>
      </c>
      <c r="Q158" s="20">
        <f>D158*'1-Data Input'!$D$4</f>
        <v>0</v>
      </c>
      <c r="R158" s="20">
        <f>E158*'1-Data Input'!$D$5</f>
        <v>0</v>
      </c>
      <c r="S158" s="20">
        <f>F158*'1-Data Input'!$D$6</f>
        <v>0</v>
      </c>
      <c r="T158" s="20">
        <f>G158*'1-Data Input'!$D$7</f>
        <v>0</v>
      </c>
      <c r="U158" s="20">
        <f>H158*'1-Data Input'!$D$8</f>
        <v>0</v>
      </c>
      <c r="V158" s="20">
        <f>I158*'1-Data Input'!$D$9</f>
        <v>0</v>
      </c>
      <c r="W158" s="20">
        <f>J158*'1-Data Input'!$D$10</f>
        <v>0</v>
      </c>
      <c r="X158" s="20">
        <f>K158*'1-Data Input'!$D$11</f>
        <v>0</v>
      </c>
      <c r="Y158" s="20">
        <f>L158*'1-Data Input'!$D$12</f>
        <v>0</v>
      </c>
      <c r="Z158" s="21">
        <f>M158*'1-Data Input'!$D$13</f>
        <v>0</v>
      </c>
    </row>
    <row r="159" spans="1:26" x14ac:dyDescent="0.25">
      <c r="A159" s="32">
        <v>0.83333333333333304</v>
      </c>
      <c r="B159" s="42">
        <v>3.3975875798031657E-2</v>
      </c>
      <c r="C159" s="42">
        <v>3.5896499194146128E-2</v>
      </c>
      <c r="D159" s="42">
        <v>3.5062765188778218E-2</v>
      </c>
      <c r="E159" s="42">
        <v>3.6196667203553412E-2</v>
      </c>
      <c r="F159" s="42">
        <v>3.3175306540887531E-2</v>
      </c>
      <c r="G159" s="42">
        <v>3.5713922117587171E-2</v>
      </c>
      <c r="H159" s="42">
        <v>3.57837389854559E-2</v>
      </c>
      <c r="I159" s="42">
        <v>3.521274439217386E-2</v>
      </c>
      <c r="J159" s="42">
        <v>3.6366450313365148E-2</v>
      </c>
      <c r="K159" s="42">
        <v>3.7044205310830684E-2</v>
      </c>
      <c r="L159" s="42">
        <v>3.6577395979863855E-2</v>
      </c>
      <c r="M159" s="42">
        <v>3.5718883074817791E-2</v>
      </c>
      <c r="N159" s="32">
        <v>0.83333333333333304</v>
      </c>
      <c r="O159" s="20">
        <f>B159*'1-Data Input'!$D$2</f>
        <v>0</v>
      </c>
      <c r="P159" s="20">
        <f>C159*'1-Data Input'!$D$3</f>
        <v>0</v>
      </c>
      <c r="Q159" s="20">
        <f>D159*'1-Data Input'!$D$4</f>
        <v>0</v>
      </c>
      <c r="R159" s="20">
        <f>E159*'1-Data Input'!$D$5</f>
        <v>0</v>
      </c>
      <c r="S159" s="20">
        <f>F159*'1-Data Input'!$D$6</f>
        <v>0</v>
      </c>
      <c r="T159" s="20">
        <f>G159*'1-Data Input'!$D$7</f>
        <v>0</v>
      </c>
      <c r="U159" s="20">
        <f>H159*'1-Data Input'!$D$8</f>
        <v>0</v>
      </c>
      <c r="V159" s="20">
        <f>I159*'1-Data Input'!$D$9</f>
        <v>0</v>
      </c>
      <c r="W159" s="20">
        <f>J159*'1-Data Input'!$D$10</f>
        <v>0</v>
      </c>
      <c r="X159" s="20">
        <f>K159*'1-Data Input'!$D$11</f>
        <v>0</v>
      </c>
      <c r="Y159" s="20">
        <f>L159*'1-Data Input'!$D$12</f>
        <v>0</v>
      </c>
      <c r="Z159" s="21">
        <f>M159*'1-Data Input'!$D$13</f>
        <v>0</v>
      </c>
    </row>
    <row r="160" spans="1:26" x14ac:dyDescent="0.25">
      <c r="A160" s="32">
        <v>0.875</v>
      </c>
      <c r="B160" s="42">
        <v>3.6013858280883389E-2</v>
      </c>
      <c r="C160" s="42">
        <v>3.4603636303405932E-2</v>
      </c>
      <c r="D160" s="42">
        <v>3.3217356494631999E-2</v>
      </c>
      <c r="E160" s="42">
        <v>3.569111296622135E-2</v>
      </c>
      <c r="F160" s="42">
        <v>3.3422883455371769E-2</v>
      </c>
      <c r="G160" s="42">
        <v>3.3588699414609312E-2</v>
      </c>
      <c r="H160" s="42">
        <v>3.5008424640771023E-2</v>
      </c>
      <c r="I160" s="42">
        <v>3.5164687296849552E-2</v>
      </c>
      <c r="J160" s="42">
        <v>3.6855391578429451E-2</v>
      </c>
      <c r="K160" s="42">
        <v>3.5627467678253456E-2</v>
      </c>
      <c r="L160" s="42">
        <v>3.5196877918296975E-2</v>
      </c>
      <c r="M160" s="42">
        <v>3.3698471392513155E-2</v>
      </c>
      <c r="N160" s="32">
        <v>0.875</v>
      </c>
      <c r="O160" s="20">
        <f>B160*'1-Data Input'!$D$2</f>
        <v>0</v>
      </c>
      <c r="P160" s="20">
        <f>C160*'1-Data Input'!$D$3</f>
        <v>0</v>
      </c>
      <c r="Q160" s="20">
        <f>D160*'1-Data Input'!$D$4</f>
        <v>0</v>
      </c>
      <c r="R160" s="20">
        <f>E160*'1-Data Input'!$D$5</f>
        <v>0</v>
      </c>
      <c r="S160" s="20">
        <f>F160*'1-Data Input'!$D$6</f>
        <v>0</v>
      </c>
      <c r="T160" s="20">
        <f>G160*'1-Data Input'!$D$7</f>
        <v>0</v>
      </c>
      <c r="U160" s="20">
        <f>H160*'1-Data Input'!$D$8</f>
        <v>0</v>
      </c>
      <c r="V160" s="20">
        <f>I160*'1-Data Input'!$D$9</f>
        <v>0</v>
      </c>
      <c r="W160" s="20">
        <f>J160*'1-Data Input'!$D$10</f>
        <v>0</v>
      </c>
      <c r="X160" s="20">
        <f>K160*'1-Data Input'!$D$11</f>
        <v>0</v>
      </c>
      <c r="Y160" s="20">
        <f>L160*'1-Data Input'!$D$12</f>
        <v>0</v>
      </c>
      <c r="Z160" s="21">
        <f>M160*'1-Data Input'!$D$13</f>
        <v>0</v>
      </c>
    </row>
    <row r="161" spans="1:26" x14ac:dyDescent="0.25">
      <c r="A161" s="32">
        <v>0.91666666666666696</v>
      </c>
      <c r="B161" s="42">
        <v>3.2242878106319976E-2</v>
      </c>
      <c r="C161" s="42">
        <v>3.2872764347902497E-2</v>
      </c>
      <c r="D161" s="42">
        <v>3.3421770996137426E-2</v>
      </c>
      <c r="E161" s="42">
        <v>3.2022161058910023E-2</v>
      </c>
      <c r="F161" s="42">
        <v>3.1168283020801994E-2</v>
      </c>
      <c r="G161" s="42">
        <v>3.304046831254772E-2</v>
      </c>
      <c r="H161" s="42">
        <v>3.3551893931696358E-2</v>
      </c>
      <c r="I161" s="42">
        <v>3.3909086460830844E-2</v>
      </c>
      <c r="J161" s="42">
        <v>3.4473824125132002E-2</v>
      </c>
      <c r="K161" s="42">
        <v>3.5056127583804282E-2</v>
      </c>
      <c r="L161" s="42">
        <v>3.4545881327796631E-2</v>
      </c>
      <c r="M161" s="42">
        <v>3.3334298422616267E-2</v>
      </c>
      <c r="N161" s="32">
        <v>0.91666666666666696</v>
      </c>
      <c r="O161" s="20">
        <f>B161*'1-Data Input'!$D$2</f>
        <v>0</v>
      </c>
      <c r="P161" s="20">
        <f>C161*'1-Data Input'!$D$3</f>
        <v>0</v>
      </c>
      <c r="Q161" s="20">
        <f>D161*'1-Data Input'!$D$4</f>
        <v>0</v>
      </c>
      <c r="R161" s="20">
        <f>E161*'1-Data Input'!$D$5</f>
        <v>0</v>
      </c>
      <c r="S161" s="20">
        <f>F161*'1-Data Input'!$D$6</f>
        <v>0</v>
      </c>
      <c r="T161" s="20">
        <f>G161*'1-Data Input'!$D$7</f>
        <v>0</v>
      </c>
      <c r="U161" s="20">
        <f>H161*'1-Data Input'!$D$8</f>
        <v>0</v>
      </c>
      <c r="V161" s="20">
        <f>I161*'1-Data Input'!$D$9</f>
        <v>0</v>
      </c>
      <c r="W161" s="20">
        <f>J161*'1-Data Input'!$D$10</f>
        <v>0</v>
      </c>
      <c r="X161" s="20">
        <f>K161*'1-Data Input'!$D$11</f>
        <v>0</v>
      </c>
      <c r="Y161" s="20">
        <f>L161*'1-Data Input'!$D$12</f>
        <v>0</v>
      </c>
      <c r="Z161" s="21">
        <f>M161*'1-Data Input'!$D$13</f>
        <v>0</v>
      </c>
    </row>
    <row r="162" spans="1:26" x14ac:dyDescent="0.25">
      <c r="A162" s="32">
        <v>0.95833333333333304</v>
      </c>
      <c r="B162" s="43">
        <v>3.2854747905367306E-2</v>
      </c>
      <c r="C162" s="43">
        <v>3.317274534603866E-2</v>
      </c>
      <c r="D162" s="43">
        <v>3.2876665658789613E-2</v>
      </c>
      <c r="E162" s="43">
        <v>3.2365633083469285E-2</v>
      </c>
      <c r="F162" s="43">
        <v>3.2229012556636676E-2</v>
      </c>
      <c r="G162" s="43">
        <v>3.3128022397556633E-2</v>
      </c>
      <c r="H162" s="43">
        <v>3.2912204375511914E-2</v>
      </c>
      <c r="I162" s="43">
        <v>3.3430263038326843E-2</v>
      </c>
      <c r="J162" s="43">
        <v>3.4988174936254765E-2</v>
      </c>
      <c r="K162" s="43">
        <v>3.3436556475961901E-2</v>
      </c>
      <c r="L162" s="43">
        <v>3.3394183079492511E-2</v>
      </c>
      <c r="M162" s="43">
        <v>3.1927493251233778E-2</v>
      </c>
      <c r="N162" s="32">
        <v>0.95833333333333304</v>
      </c>
      <c r="O162" s="26">
        <f>B162*'1-Data Input'!$D$2</f>
        <v>0</v>
      </c>
      <c r="P162" s="26">
        <f>C162*'1-Data Input'!$D$3</f>
        <v>0</v>
      </c>
      <c r="Q162" s="26">
        <f>D162*'1-Data Input'!$D$4</f>
        <v>0</v>
      </c>
      <c r="R162" s="26">
        <f>E162*'1-Data Input'!$D$5</f>
        <v>0</v>
      </c>
      <c r="S162" s="26">
        <f>F162*'1-Data Input'!$D$6</f>
        <v>0</v>
      </c>
      <c r="T162" s="26">
        <f>G162*'1-Data Input'!$D$7</f>
        <v>0</v>
      </c>
      <c r="U162" s="26">
        <f>H162*'1-Data Input'!$D$8</f>
        <v>0</v>
      </c>
      <c r="V162" s="26">
        <f>I162*'1-Data Input'!$D$9</f>
        <v>0</v>
      </c>
      <c r="W162" s="26">
        <f>J162*'1-Data Input'!$D$10</f>
        <v>0</v>
      </c>
      <c r="X162" s="26">
        <f>K162*'1-Data Input'!$D$11</f>
        <v>0</v>
      </c>
      <c r="Y162" s="26">
        <f>L162*'1-Data Input'!$D$12</f>
        <v>0</v>
      </c>
      <c r="Z162" s="27">
        <f>M162*'1-Data Input'!$D$13</f>
        <v>0</v>
      </c>
    </row>
    <row r="163" spans="1:26" ht="20.25" x14ac:dyDescent="0.25">
      <c r="A163" s="65" t="s">
        <v>33</v>
      </c>
      <c r="B163" s="65"/>
      <c r="C163" s="65"/>
      <c r="D163" s="65"/>
      <c r="E163" s="65"/>
      <c r="F163" s="65"/>
      <c r="G163" s="66" t="s">
        <v>52</v>
      </c>
      <c r="H163" s="66"/>
      <c r="I163" s="66"/>
      <c r="J163" s="66"/>
      <c r="K163" s="66"/>
      <c r="L163" s="66"/>
      <c r="M163" s="66"/>
      <c r="N163" s="66"/>
      <c r="O163" s="66"/>
      <c r="P163" s="66"/>
      <c r="Q163" s="66"/>
      <c r="R163" s="66"/>
      <c r="S163" s="66"/>
      <c r="T163" s="66"/>
      <c r="U163" s="66"/>
      <c r="V163" s="66"/>
      <c r="W163" s="66"/>
      <c r="X163" s="66"/>
      <c r="Y163" s="66"/>
      <c r="Z163" s="66"/>
    </row>
    <row r="164" spans="1:26" ht="33.75" x14ac:dyDescent="0.5">
      <c r="A164" s="67" t="s">
        <v>15</v>
      </c>
      <c r="B164" s="67"/>
      <c r="C164" s="67"/>
      <c r="D164" s="67"/>
      <c r="E164" s="67"/>
      <c r="F164" s="67"/>
      <c r="G164" s="67"/>
      <c r="H164" s="67"/>
      <c r="I164" s="67"/>
      <c r="J164" s="67"/>
      <c r="K164" s="67"/>
      <c r="L164" s="67"/>
      <c r="M164" s="68"/>
      <c r="N164" s="69" t="s">
        <v>27</v>
      </c>
      <c r="O164" s="69"/>
      <c r="P164" s="69"/>
      <c r="Q164" s="69"/>
      <c r="R164" s="69"/>
      <c r="S164" s="69"/>
      <c r="T164" s="69"/>
      <c r="U164" s="69"/>
      <c r="V164" s="69"/>
      <c r="W164" s="69"/>
      <c r="X164" s="69"/>
      <c r="Y164" s="69"/>
      <c r="Z164" s="69"/>
    </row>
    <row r="165" spans="1:26" ht="46.5" x14ac:dyDescent="0.25">
      <c r="A165" s="28" t="s">
        <v>30</v>
      </c>
      <c r="B165" s="29" t="s">
        <v>16</v>
      </c>
      <c r="C165" s="29" t="s">
        <v>17</v>
      </c>
      <c r="D165" s="29" t="s">
        <v>18</v>
      </c>
      <c r="E165" s="29" t="s">
        <v>19</v>
      </c>
      <c r="F165" s="29" t="s">
        <v>4</v>
      </c>
      <c r="G165" s="29" t="s">
        <v>20</v>
      </c>
      <c r="H165" s="29" t="s">
        <v>21</v>
      </c>
      <c r="I165" s="29" t="s">
        <v>22</v>
      </c>
      <c r="J165" s="29" t="s">
        <v>23</v>
      </c>
      <c r="K165" s="29" t="s">
        <v>24</v>
      </c>
      <c r="L165" s="29" t="s">
        <v>25</v>
      </c>
      <c r="M165" s="30" t="s">
        <v>26</v>
      </c>
      <c r="N165" s="40" t="s">
        <v>30</v>
      </c>
      <c r="O165" s="40" t="s">
        <v>16</v>
      </c>
      <c r="P165" s="40" t="s">
        <v>17</v>
      </c>
      <c r="Q165" s="40" t="s">
        <v>18</v>
      </c>
      <c r="R165" s="40" t="s">
        <v>19</v>
      </c>
      <c r="S165" s="40" t="s">
        <v>4</v>
      </c>
      <c r="T165" s="40" t="s">
        <v>20</v>
      </c>
      <c r="U165" s="40" t="s">
        <v>21</v>
      </c>
      <c r="V165" s="40" t="s">
        <v>22</v>
      </c>
      <c r="W165" s="40" t="s">
        <v>23</v>
      </c>
      <c r="X165" s="40" t="s">
        <v>24</v>
      </c>
      <c r="Y165" s="40" t="s">
        <v>25</v>
      </c>
      <c r="Z165" s="40" t="s">
        <v>26</v>
      </c>
    </row>
    <row r="166" spans="1:26" x14ac:dyDescent="0.25">
      <c r="A166" s="32">
        <v>0</v>
      </c>
      <c r="B166" s="42">
        <v>3.1716993115989703E-2</v>
      </c>
      <c r="C166" s="42">
        <v>3.2898989680561638E-2</v>
      </c>
      <c r="D166" s="42">
        <v>3.2635342983401261E-2</v>
      </c>
      <c r="E166" s="42">
        <v>3.4075371785602319E-2</v>
      </c>
      <c r="F166" s="42">
        <v>3.1788875819775818E-2</v>
      </c>
      <c r="G166" s="42">
        <v>3.2336472384830742E-2</v>
      </c>
      <c r="H166" s="42">
        <v>3.2914413248288789E-2</v>
      </c>
      <c r="I166" s="42">
        <v>3.2523731467436513E-2</v>
      </c>
      <c r="J166" s="42">
        <v>3.3621449352807316E-2</v>
      </c>
      <c r="K166" s="42">
        <v>3.3560424247116194E-2</v>
      </c>
      <c r="L166" s="42">
        <v>3.3132433477605215E-2</v>
      </c>
      <c r="M166" s="42">
        <v>3.2021030829118259E-2</v>
      </c>
      <c r="N166" s="32">
        <v>0</v>
      </c>
      <c r="O166" s="41">
        <f>B166*'1-Data Input'!$D$2</f>
        <v>0</v>
      </c>
      <c r="P166" s="41">
        <f>C166*'1-Data Input'!$D$3</f>
        <v>0</v>
      </c>
      <c r="Q166" s="41">
        <f>D166*'1-Data Input'!$D$4</f>
        <v>0</v>
      </c>
      <c r="R166" s="41">
        <f>E166*'1-Data Input'!$D$5</f>
        <v>0</v>
      </c>
      <c r="S166" s="41">
        <f>F166*'1-Data Input'!$D$6</f>
        <v>0</v>
      </c>
      <c r="T166" s="41">
        <f>G166*'1-Data Input'!$D$7</f>
        <v>0</v>
      </c>
      <c r="U166" s="41">
        <f>H166*'1-Data Input'!$D$8</f>
        <v>0</v>
      </c>
      <c r="V166" s="41">
        <f>I166*'1-Data Input'!$D$9</f>
        <v>0</v>
      </c>
      <c r="W166" s="41">
        <f>J166*'1-Data Input'!$D$10</f>
        <v>0</v>
      </c>
      <c r="X166" s="41">
        <f>K166*'1-Data Input'!$D$11</f>
        <v>0</v>
      </c>
      <c r="Y166" s="41">
        <f>L166*'1-Data Input'!$D$12</f>
        <v>0</v>
      </c>
      <c r="Z166" s="41">
        <f>M166*'1-Data Input'!$D$13</f>
        <v>0</v>
      </c>
    </row>
    <row r="167" spans="1:26" x14ac:dyDescent="0.25">
      <c r="A167" s="32">
        <v>4.1666666666666699E-2</v>
      </c>
      <c r="B167" s="42">
        <v>3.2567815173515917E-2</v>
      </c>
      <c r="C167" s="42">
        <v>3.3645721521014076E-2</v>
      </c>
      <c r="D167" s="42">
        <v>3.3495587343903267E-2</v>
      </c>
      <c r="E167" s="42">
        <v>3.2637971848504449E-2</v>
      </c>
      <c r="F167" s="42">
        <v>3.217470997221878E-2</v>
      </c>
      <c r="G167" s="42">
        <v>3.1574446424026473E-2</v>
      </c>
      <c r="H167" s="42">
        <v>3.2210666381574826E-2</v>
      </c>
      <c r="I167" s="42">
        <v>3.2110877330332244E-2</v>
      </c>
      <c r="J167" s="42">
        <v>3.3563700384492627E-2</v>
      </c>
      <c r="K167" s="42">
        <v>3.306804985677788E-2</v>
      </c>
      <c r="L167" s="42">
        <v>3.2605556859612715E-2</v>
      </c>
      <c r="M167" s="42">
        <v>3.2396939966906971E-2</v>
      </c>
      <c r="N167" s="32">
        <v>4.1666666666666699E-2</v>
      </c>
      <c r="O167" s="20">
        <f>B167*'1-Data Input'!$D$2</f>
        <v>0</v>
      </c>
      <c r="P167" s="20">
        <f>C167*'1-Data Input'!$D$3</f>
        <v>0</v>
      </c>
      <c r="Q167" s="20">
        <f>D167*'1-Data Input'!$D$4</f>
        <v>0</v>
      </c>
      <c r="R167" s="20">
        <f>E167*'1-Data Input'!$D$5</f>
        <v>0</v>
      </c>
      <c r="S167" s="20">
        <f>F167*'1-Data Input'!$D$6</f>
        <v>0</v>
      </c>
      <c r="T167" s="20">
        <f>G167*'1-Data Input'!$D$7</f>
        <v>0</v>
      </c>
      <c r="U167" s="20">
        <f>H167*'1-Data Input'!$D$8</f>
        <v>0</v>
      </c>
      <c r="V167" s="20">
        <f>I167*'1-Data Input'!$D$9</f>
        <v>0</v>
      </c>
      <c r="W167" s="20">
        <f>J167*'1-Data Input'!$D$10</f>
        <v>0</v>
      </c>
      <c r="X167" s="20">
        <f>K167*'1-Data Input'!$D$11</f>
        <v>0</v>
      </c>
      <c r="Y167" s="20">
        <f>L167*'1-Data Input'!$D$12</f>
        <v>0</v>
      </c>
      <c r="Z167" s="21">
        <f>M167*'1-Data Input'!$D$13</f>
        <v>0</v>
      </c>
    </row>
    <row r="168" spans="1:26" x14ac:dyDescent="0.25">
      <c r="A168" s="32">
        <v>8.3333333333333301E-2</v>
      </c>
      <c r="B168" s="42">
        <v>3.2911754408384133E-2</v>
      </c>
      <c r="C168" s="42">
        <v>3.224335636408307E-2</v>
      </c>
      <c r="D168" s="42">
        <v>3.210064764381531E-2</v>
      </c>
      <c r="E168" s="42">
        <v>3.2914375371226698E-2</v>
      </c>
      <c r="F168" s="42">
        <v>3.1324898343001652E-2</v>
      </c>
      <c r="G168" s="42">
        <v>3.1224230083990834E-2</v>
      </c>
      <c r="H168" s="42">
        <v>3.2099339193620076E-2</v>
      </c>
      <c r="I168" s="42">
        <v>3.2058451408160271E-2</v>
      </c>
      <c r="J168" s="42">
        <v>3.2462620055292712E-2</v>
      </c>
      <c r="K168" s="42">
        <v>3.3560424247116194E-2</v>
      </c>
      <c r="L168" s="42">
        <v>3.178146779044496E-2</v>
      </c>
      <c r="M168" s="42">
        <v>3.204935192908883E-2</v>
      </c>
      <c r="N168" s="32">
        <v>8.3333333333333301E-2</v>
      </c>
      <c r="O168" s="20">
        <f>B168*'1-Data Input'!$D$2</f>
        <v>0</v>
      </c>
      <c r="P168" s="20">
        <f>C168*'1-Data Input'!$D$3</f>
        <v>0</v>
      </c>
      <c r="Q168" s="20">
        <f>D168*'1-Data Input'!$D$4</f>
        <v>0</v>
      </c>
      <c r="R168" s="20">
        <f>E168*'1-Data Input'!$D$5</f>
        <v>0</v>
      </c>
      <c r="S168" s="20">
        <f>F168*'1-Data Input'!$D$6</f>
        <v>0</v>
      </c>
      <c r="T168" s="20">
        <f>G168*'1-Data Input'!$D$7</f>
        <v>0</v>
      </c>
      <c r="U168" s="20">
        <f>H168*'1-Data Input'!$D$8</f>
        <v>0</v>
      </c>
      <c r="V168" s="20">
        <f>I168*'1-Data Input'!$D$9</f>
        <v>0</v>
      </c>
      <c r="W168" s="20">
        <f>J168*'1-Data Input'!$D$10</f>
        <v>0</v>
      </c>
      <c r="X168" s="20">
        <f>K168*'1-Data Input'!$D$11</f>
        <v>0</v>
      </c>
      <c r="Y168" s="20">
        <f>L168*'1-Data Input'!$D$12</f>
        <v>0</v>
      </c>
      <c r="Z168" s="21">
        <f>M168*'1-Data Input'!$D$13</f>
        <v>0</v>
      </c>
    </row>
    <row r="169" spans="1:26" x14ac:dyDescent="0.25">
      <c r="A169" s="32">
        <v>0.125</v>
      </c>
      <c r="B169" s="42">
        <v>3.2572090661242184E-2</v>
      </c>
      <c r="C169" s="42">
        <v>3.3692651063667277E-2</v>
      </c>
      <c r="D169" s="42">
        <v>3.3203161043138564E-2</v>
      </c>
      <c r="E169" s="42">
        <v>3.3259879774629506E-2</v>
      </c>
      <c r="F169" s="42">
        <v>2.9766997684821224E-2</v>
      </c>
      <c r="G169" s="42">
        <v>3.1878340544667851E-2</v>
      </c>
      <c r="H169" s="42">
        <v>3.1708368712112314E-2</v>
      </c>
      <c r="I169" s="42">
        <v>3.135725469911016E-2</v>
      </c>
      <c r="J169" s="42">
        <v>3.1917854787524222E-2</v>
      </c>
      <c r="K169" s="42">
        <v>3.2596578152821853E-2</v>
      </c>
      <c r="L169" s="42">
        <v>3.3214757949166542E-2</v>
      </c>
      <c r="M169" s="42">
        <v>3.1809012319246779E-2</v>
      </c>
      <c r="N169" s="32">
        <v>0.125</v>
      </c>
      <c r="O169" s="20">
        <f>B169*'1-Data Input'!$D$2</f>
        <v>0</v>
      </c>
      <c r="P169" s="20">
        <f>C169*'1-Data Input'!$D$3</f>
        <v>0</v>
      </c>
      <c r="Q169" s="20">
        <f>D169*'1-Data Input'!$D$4</f>
        <v>0</v>
      </c>
      <c r="R169" s="20">
        <f>E169*'1-Data Input'!$D$5</f>
        <v>0</v>
      </c>
      <c r="S169" s="20">
        <f>F169*'1-Data Input'!$D$6</f>
        <v>0</v>
      </c>
      <c r="T169" s="20">
        <f>G169*'1-Data Input'!$D$7</f>
        <v>0</v>
      </c>
      <c r="U169" s="20">
        <f>H169*'1-Data Input'!$D$8</f>
        <v>0</v>
      </c>
      <c r="V169" s="20">
        <f>I169*'1-Data Input'!$D$9</f>
        <v>0</v>
      </c>
      <c r="W169" s="20">
        <f>J169*'1-Data Input'!$D$10</f>
        <v>0</v>
      </c>
      <c r="X169" s="20">
        <f>K169*'1-Data Input'!$D$11</f>
        <v>0</v>
      </c>
      <c r="Y169" s="20">
        <f>L169*'1-Data Input'!$D$12</f>
        <v>0</v>
      </c>
      <c r="Z169" s="21">
        <f>M169*'1-Data Input'!$D$13</f>
        <v>0</v>
      </c>
    </row>
    <row r="170" spans="1:26" x14ac:dyDescent="0.25">
      <c r="A170" s="32">
        <v>0.16666666666666699</v>
      </c>
      <c r="B170" s="42">
        <v>3.5024795453541362E-2</v>
      </c>
      <c r="C170" s="42">
        <v>3.5837607219051916E-2</v>
      </c>
      <c r="D170" s="42">
        <v>3.5426168747010087E-2</v>
      </c>
      <c r="E170" s="42">
        <v>3.5497528881373606E-2</v>
      </c>
      <c r="F170" s="42">
        <v>3.3512011144586094E-2</v>
      </c>
      <c r="G170" s="42">
        <v>3.4445405955713923E-2</v>
      </c>
      <c r="H170" s="42">
        <v>3.4230459648753889E-2</v>
      </c>
      <c r="I170" s="42">
        <v>3.2624651367617552E-2</v>
      </c>
      <c r="J170" s="42">
        <v>3.3457442282793612E-2</v>
      </c>
      <c r="K170" s="42">
        <v>3.3667260199736773E-2</v>
      </c>
      <c r="L170" s="42">
        <v>3.3319879966698697E-2</v>
      </c>
      <c r="M170" s="42">
        <v>3.3039966844206452E-2</v>
      </c>
      <c r="N170" s="32">
        <v>0.16666666666666699</v>
      </c>
      <c r="O170" s="20">
        <f>B170*'1-Data Input'!$D$2</f>
        <v>0</v>
      </c>
      <c r="P170" s="20">
        <f>C170*'1-Data Input'!$D$3</f>
        <v>0</v>
      </c>
      <c r="Q170" s="20">
        <f>D170*'1-Data Input'!$D$4</f>
        <v>0</v>
      </c>
      <c r="R170" s="20">
        <f>E170*'1-Data Input'!$D$5</f>
        <v>0</v>
      </c>
      <c r="S170" s="20">
        <f>F170*'1-Data Input'!$D$6</f>
        <v>0</v>
      </c>
      <c r="T170" s="20">
        <f>G170*'1-Data Input'!$D$7</f>
        <v>0</v>
      </c>
      <c r="U170" s="20">
        <f>H170*'1-Data Input'!$D$8</f>
        <v>0</v>
      </c>
      <c r="V170" s="20">
        <f>I170*'1-Data Input'!$D$9</f>
        <v>0</v>
      </c>
      <c r="W170" s="20">
        <f>J170*'1-Data Input'!$D$10</f>
        <v>0</v>
      </c>
      <c r="X170" s="20">
        <f>K170*'1-Data Input'!$D$11</f>
        <v>0</v>
      </c>
      <c r="Y170" s="20">
        <f>L170*'1-Data Input'!$D$12</f>
        <v>0</v>
      </c>
      <c r="Z170" s="21">
        <f>M170*'1-Data Input'!$D$13</f>
        <v>0</v>
      </c>
    </row>
    <row r="171" spans="1:26" x14ac:dyDescent="0.25">
      <c r="A171" s="32">
        <v>0.20833333333333301</v>
      </c>
      <c r="B171" s="42">
        <v>4.1358217938711354E-2</v>
      </c>
      <c r="C171" s="42">
        <v>4.2595461361113161E-2</v>
      </c>
      <c r="D171" s="42">
        <v>4.348539974154815E-2</v>
      </c>
      <c r="E171" s="42">
        <v>4.290351738725505E-2</v>
      </c>
      <c r="F171" s="42">
        <v>4.4387789912418006E-2</v>
      </c>
      <c r="G171" s="42">
        <v>4.7045049630949347E-2</v>
      </c>
      <c r="H171" s="42">
        <v>4.2604738120461325E-2</v>
      </c>
      <c r="I171" s="42">
        <v>4.3487302441649944E-2</v>
      </c>
      <c r="J171" s="42">
        <v>4.2310744118556322E-2</v>
      </c>
      <c r="K171" s="42">
        <v>4.2293102113493838E-2</v>
      </c>
      <c r="L171" s="42">
        <v>4.2437209647921456E-2</v>
      </c>
      <c r="M171" s="42">
        <v>4.2852682348140339E-2</v>
      </c>
      <c r="N171" s="32">
        <v>0.20833333333333301</v>
      </c>
      <c r="O171" s="20">
        <f>B171*'1-Data Input'!$D$2</f>
        <v>0</v>
      </c>
      <c r="P171" s="20">
        <f>C171*'1-Data Input'!$D$3</f>
        <v>0</v>
      </c>
      <c r="Q171" s="20">
        <f>D171*'1-Data Input'!$D$4</f>
        <v>0</v>
      </c>
      <c r="R171" s="20">
        <f>E171*'1-Data Input'!$D$5</f>
        <v>0</v>
      </c>
      <c r="S171" s="20">
        <f>F171*'1-Data Input'!$D$6</f>
        <v>0</v>
      </c>
      <c r="T171" s="20">
        <f>G171*'1-Data Input'!$D$7</f>
        <v>0</v>
      </c>
      <c r="U171" s="20">
        <f>H171*'1-Data Input'!$D$8</f>
        <v>0</v>
      </c>
      <c r="V171" s="20">
        <f>I171*'1-Data Input'!$D$9</f>
        <v>0</v>
      </c>
      <c r="W171" s="20">
        <f>J171*'1-Data Input'!$D$10</f>
        <v>0</v>
      </c>
      <c r="X171" s="20">
        <f>K171*'1-Data Input'!$D$11</f>
        <v>0</v>
      </c>
      <c r="Y171" s="20">
        <f>L171*'1-Data Input'!$D$12</f>
        <v>0</v>
      </c>
      <c r="Z171" s="21">
        <f>M171*'1-Data Input'!$D$13</f>
        <v>0</v>
      </c>
    </row>
    <row r="172" spans="1:26" x14ac:dyDescent="0.25">
      <c r="A172" s="32">
        <v>0.25</v>
      </c>
      <c r="B172" s="42">
        <v>5.0856926503890933E-2</v>
      </c>
      <c r="C172" s="42">
        <v>4.9828132052371521E-2</v>
      </c>
      <c r="D172" s="42">
        <v>4.7512176148518499E-2</v>
      </c>
      <c r="E172" s="42">
        <v>4.7290915215759878E-2</v>
      </c>
      <c r="F172" s="42">
        <v>5.3154763539765323E-2</v>
      </c>
      <c r="G172" s="42">
        <v>5.298294731483838E-2</v>
      </c>
      <c r="H172" s="42">
        <v>4.9494212311550032E-2</v>
      </c>
      <c r="I172" s="42">
        <v>5.105629495522826E-2</v>
      </c>
      <c r="J172" s="42">
        <v>4.8820977813231366E-2</v>
      </c>
      <c r="K172" s="42">
        <v>5.0607726252225746E-2</v>
      </c>
      <c r="L172" s="42">
        <v>5.0933517289827743E-2</v>
      </c>
      <c r="M172" s="42">
        <v>5.2680363864535736E-2</v>
      </c>
      <c r="N172" s="32">
        <v>0.25</v>
      </c>
      <c r="O172" s="20">
        <f>B172*'1-Data Input'!$D$2</f>
        <v>0</v>
      </c>
      <c r="P172" s="20">
        <f>C172*'1-Data Input'!$D$3</f>
        <v>0</v>
      </c>
      <c r="Q172" s="20">
        <f>D172*'1-Data Input'!$D$4</f>
        <v>0</v>
      </c>
      <c r="R172" s="20">
        <f>E172*'1-Data Input'!$D$5</f>
        <v>0</v>
      </c>
      <c r="S172" s="20">
        <f>F172*'1-Data Input'!$D$6</f>
        <v>0</v>
      </c>
      <c r="T172" s="20">
        <f>G172*'1-Data Input'!$D$7</f>
        <v>0</v>
      </c>
      <c r="U172" s="20">
        <f>H172*'1-Data Input'!$D$8</f>
        <v>0</v>
      </c>
      <c r="V172" s="20">
        <f>I172*'1-Data Input'!$D$9</f>
        <v>0</v>
      </c>
      <c r="W172" s="20">
        <f>J172*'1-Data Input'!$D$10</f>
        <v>0</v>
      </c>
      <c r="X172" s="20">
        <f>K172*'1-Data Input'!$D$11</f>
        <v>0</v>
      </c>
      <c r="Y172" s="20">
        <f>L172*'1-Data Input'!$D$12</f>
        <v>0</v>
      </c>
      <c r="Z172" s="21">
        <f>M172*'1-Data Input'!$D$13</f>
        <v>0</v>
      </c>
    </row>
    <row r="173" spans="1:26" x14ac:dyDescent="0.25">
      <c r="A173" s="32">
        <v>0.29166666666666702</v>
      </c>
      <c r="B173" s="42">
        <v>5.0114416802096697E-2</v>
      </c>
      <c r="C173" s="42">
        <v>4.9513428060461807E-2</v>
      </c>
      <c r="D173" s="42">
        <v>4.9723827491195284E-2</v>
      </c>
      <c r="E173" s="42">
        <v>5.0197725056741471E-2</v>
      </c>
      <c r="F173" s="42">
        <v>5.0334037227408264E-2</v>
      </c>
      <c r="G173" s="42">
        <v>4.9533214558411809E-2</v>
      </c>
      <c r="H173" s="42">
        <v>4.8718897966865148E-2</v>
      </c>
      <c r="I173" s="42">
        <v>4.8782320581019015E-2</v>
      </c>
      <c r="J173" s="42">
        <v>4.6915261858846889E-2</v>
      </c>
      <c r="K173" s="42">
        <v>4.9102732832701085E-2</v>
      </c>
      <c r="L173" s="42">
        <v>5.0433237808801205E-2</v>
      </c>
      <c r="M173" s="42">
        <v>5.0744759586179689E-2</v>
      </c>
      <c r="N173" s="32">
        <v>0.29166666666666702</v>
      </c>
      <c r="O173" s="20">
        <f>B173*'1-Data Input'!$D$2</f>
        <v>0</v>
      </c>
      <c r="P173" s="20">
        <f>C173*'1-Data Input'!$D$3</f>
        <v>0</v>
      </c>
      <c r="Q173" s="20">
        <f>D173*'1-Data Input'!$D$4</f>
        <v>0</v>
      </c>
      <c r="R173" s="20">
        <f>E173*'1-Data Input'!$D$5</f>
        <v>0</v>
      </c>
      <c r="S173" s="20">
        <f>F173*'1-Data Input'!$D$6</f>
        <v>0</v>
      </c>
      <c r="T173" s="20">
        <f>G173*'1-Data Input'!$D$7</f>
        <v>0</v>
      </c>
      <c r="U173" s="20">
        <f>H173*'1-Data Input'!$D$8</f>
        <v>0</v>
      </c>
      <c r="V173" s="20">
        <f>I173*'1-Data Input'!$D$9</f>
        <v>0</v>
      </c>
      <c r="W173" s="20">
        <f>J173*'1-Data Input'!$D$10</f>
        <v>0</v>
      </c>
      <c r="X173" s="20">
        <f>K173*'1-Data Input'!$D$11</f>
        <v>0</v>
      </c>
      <c r="Y173" s="20">
        <f>L173*'1-Data Input'!$D$12</f>
        <v>0</v>
      </c>
      <c r="Z173" s="21">
        <f>M173*'1-Data Input'!$D$13</f>
        <v>0</v>
      </c>
    </row>
    <row r="174" spans="1:26" x14ac:dyDescent="0.25">
      <c r="A174" s="32">
        <v>0.33333333333333298</v>
      </c>
      <c r="B174" s="42">
        <v>5.2417479523976691E-2</v>
      </c>
      <c r="C174" s="42">
        <v>5.1015173425364303E-2</v>
      </c>
      <c r="D174" s="42">
        <v>4.9097334898618457E-2</v>
      </c>
      <c r="E174" s="42">
        <v>5.0829794877084271E-2</v>
      </c>
      <c r="F174" s="42">
        <v>4.9922509378443357E-2</v>
      </c>
      <c r="G174" s="42">
        <v>4.9926189870195974E-2</v>
      </c>
      <c r="H174" s="42">
        <v>4.7181522514156679E-2</v>
      </c>
      <c r="I174" s="42">
        <v>4.7489147834110401E-2</v>
      </c>
      <c r="J174" s="42">
        <v>4.7816145764555923E-2</v>
      </c>
      <c r="K174" s="42">
        <v>4.9214213826739947E-2</v>
      </c>
      <c r="L174" s="42">
        <v>5.0011061031563629E-2</v>
      </c>
      <c r="M174" s="42">
        <v>5.0801297855478753E-2</v>
      </c>
      <c r="N174" s="32">
        <v>0.33333333333333298</v>
      </c>
      <c r="O174" s="20">
        <f>B174*'1-Data Input'!$D$2</f>
        <v>0</v>
      </c>
      <c r="P174" s="20">
        <f>C174*'1-Data Input'!$D$3</f>
        <v>0</v>
      </c>
      <c r="Q174" s="20">
        <f>D174*'1-Data Input'!$D$4</f>
        <v>0</v>
      </c>
      <c r="R174" s="20">
        <f>E174*'1-Data Input'!$D$5</f>
        <v>0</v>
      </c>
      <c r="S174" s="20">
        <f>F174*'1-Data Input'!$D$6</f>
        <v>0</v>
      </c>
      <c r="T174" s="20">
        <f>G174*'1-Data Input'!$D$7</f>
        <v>0</v>
      </c>
      <c r="U174" s="20">
        <f>H174*'1-Data Input'!$D$8</f>
        <v>0</v>
      </c>
      <c r="V174" s="20">
        <f>I174*'1-Data Input'!$D$9</f>
        <v>0</v>
      </c>
      <c r="W174" s="20">
        <f>J174*'1-Data Input'!$D$10</f>
        <v>0</v>
      </c>
      <c r="X174" s="20">
        <f>K174*'1-Data Input'!$D$11</f>
        <v>0</v>
      </c>
      <c r="Y174" s="20">
        <f>L174*'1-Data Input'!$D$12</f>
        <v>0</v>
      </c>
      <c r="Z174" s="21">
        <f>M174*'1-Data Input'!$D$13</f>
        <v>0</v>
      </c>
    </row>
    <row r="175" spans="1:26" x14ac:dyDescent="0.25">
      <c r="A175" s="32">
        <v>0.375</v>
      </c>
      <c r="B175" s="42">
        <v>4.8947208652827069E-2</v>
      </c>
      <c r="C175" s="42">
        <v>5.2050383925067313E-2</v>
      </c>
      <c r="D175" s="42">
        <v>5.2572854605927179E-2</v>
      </c>
      <c r="E175" s="42">
        <v>5.1513182263226591E-2</v>
      </c>
      <c r="F175" s="42">
        <v>5.2940196880545652E-2</v>
      </c>
      <c r="G175" s="42">
        <v>4.939424790022906E-2</v>
      </c>
      <c r="H175" s="42">
        <v>4.9626744678162832E-2</v>
      </c>
      <c r="I175" s="42">
        <v>4.9024790471064388E-2</v>
      </c>
      <c r="J175" s="42">
        <v>4.841096013819713E-2</v>
      </c>
      <c r="K175" s="42">
        <v>4.8354881164357037E-2</v>
      </c>
      <c r="L175" s="42">
        <v>4.9806305294603406E-2</v>
      </c>
      <c r="M175" s="42">
        <v>5.2144081751331423E-2</v>
      </c>
      <c r="N175" s="32">
        <v>0.375</v>
      </c>
      <c r="O175" s="20">
        <f>B175*'1-Data Input'!$D$2</f>
        <v>0</v>
      </c>
      <c r="P175" s="20">
        <f>C175*'1-Data Input'!$D$3</f>
        <v>0</v>
      </c>
      <c r="Q175" s="20">
        <f>D175*'1-Data Input'!$D$4</f>
        <v>0</v>
      </c>
      <c r="R175" s="20">
        <f>E175*'1-Data Input'!$D$5</f>
        <v>0</v>
      </c>
      <c r="S175" s="20">
        <f>F175*'1-Data Input'!$D$6</f>
        <v>0</v>
      </c>
      <c r="T175" s="20">
        <f>G175*'1-Data Input'!$D$7</f>
        <v>0</v>
      </c>
      <c r="U175" s="20">
        <f>H175*'1-Data Input'!$D$8</f>
        <v>0</v>
      </c>
      <c r="V175" s="20">
        <f>I175*'1-Data Input'!$D$9</f>
        <v>0</v>
      </c>
      <c r="W175" s="20">
        <f>J175*'1-Data Input'!$D$10</f>
        <v>0</v>
      </c>
      <c r="X175" s="20">
        <f>K175*'1-Data Input'!$D$11</f>
        <v>0</v>
      </c>
      <c r="Y175" s="20">
        <f>L175*'1-Data Input'!$D$12</f>
        <v>0</v>
      </c>
      <c r="Z175" s="21">
        <f>M175*'1-Data Input'!$D$13</f>
        <v>0</v>
      </c>
    </row>
    <row r="176" spans="1:26" x14ac:dyDescent="0.25">
      <c r="A176" s="32">
        <v>0.41666666666666702</v>
      </c>
      <c r="B176" s="42">
        <v>5.2634104235440654E-2</v>
      </c>
      <c r="C176" s="42">
        <v>5.1677708145174236E-2</v>
      </c>
      <c r="D176" s="42">
        <v>5.2046203355520827E-2</v>
      </c>
      <c r="E176" s="42">
        <v>5.2075643108177937E-2</v>
      </c>
      <c r="F176" s="42">
        <v>5.2090182807483107E-2</v>
      </c>
      <c r="G176" s="42">
        <v>5.0180707559175364E-2</v>
      </c>
      <c r="H176" s="42">
        <v>5.066977440340556E-2</v>
      </c>
      <c r="I176" s="42">
        <v>5.1309250029708021E-2</v>
      </c>
      <c r="J176" s="42">
        <v>4.9197501086643086E-2</v>
      </c>
      <c r="K176" s="42">
        <v>5.0324378725710286E-2</v>
      </c>
      <c r="L176" s="42">
        <v>4.9794906521617992E-2</v>
      </c>
      <c r="M176" s="42">
        <v>5.2126621403459646E-2</v>
      </c>
      <c r="N176" s="32">
        <v>0.41666666666666702</v>
      </c>
      <c r="O176" s="20">
        <f>B176*'1-Data Input'!$D$2</f>
        <v>0</v>
      </c>
      <c r="P176" s="20">
        <f>C176*'1-Data Input'!$D$3</f>
        <v>0</v>
      </c>
      <c r="Q176" s="20">
        <f>D176*'1-Data Input'!$D$4</f>
        <v>0</v>
      </c>
      <c r="R176" s="20">
        <f>E176*'1-Data Input'!$D$5</f>
        <v>0</v>
      </c>
      <c r="S176" s="20">
        <f>F176*'1-Data Input'!$D$6</f>
        <v>0</v>
      </c>
      <c r="T176" s="20">
        <f>G176*'1-Data Input'!$D$7</f>
        <v>0</v>
      </c>
      <c r="U176" s="20">
        <f>H176*'1-Data Input'!$D$8</f>
        <v>0</v>
      </c>
      <c r="V176" s="20">
        <f>I176*'1-Data Input'!$D$9</f>
        <v>0</v>
      </c>
      <c r="W176" s="20">
        <f>J176*'1-Data Input'!$D$10</f>
        <v>0</v>
      </c>
      <c r="X176" s="20">
        <f>K176*'1-Data Input'!$D$11</f>
        <v>0</v>
      </c>
      <c r="Y176" s="20">
        <f>L176*'1-Data Input'!$D$12</f>
        <v>0</v>
      </c>
      <c r="Z176" s="21">
        <f>M176*'1-Data Input'!$D$13</f>
        <v>0</v>
      </c>
    </row>
    <row r="177" spans="1:26" x14ac:dyDescent="0.25">
      <c r="A177" s="32">
        <v>0.45833333333333298</v>
      </c>
      <c r="B177" s="42">
        <v>5.1077826703081149E-2</v>
      </c>
      <c r="C177" s="42">
        <v>4.9818930181263051E-2</v>
      </c>
      <c r="D177" s="42">
        <v>5.3024743145134778E-2</v>
      </c>
      <c r="E177" s="42">
        <v>5.1358213376406212E-2</v>
      </c>
      <c r="F177" s="42">
        <v>5.2112189644326151E-2</v>
      </c>
      <c r="G177" s="42">
        <v>5.0740646474930005E-2</v>
      </c>
      <c r="H177" s="42">
        <v>5.0795238377132346E-2</v>
      </c>
      <c r="I177" s="42">
        <v>5.1954088872423261E-2</v>
      </c>
      <c r="J177" s="42">
        <v>5.0033706147839668E-2</v>
      </c>
      <c r="K177" s="42">
        <v>5.0801269644654326E-2</v>
      </c>
      <c r="L177" s="42">
        <v>5.0137714064734898E-2</v>
      </c>
      <c r="M177" s="42">
        <v>5.2588904899493145E-2</v>
      </c>
      <c r="N177" s="32">
        <v>0.45833333333333298</v>
      </c>
      <c r="O177" s="20">
        <f>B177*'1-Data Input'!$D$2</f>
        <v>0</v>
      </c>
      <c r="P177" s="20">
        <f>C177*'1-Data Input'!$D$3</f>
        <v>0</v>
      </c>
      <c r="Q177" s="20">
        <f>D177*'1-Data Input'!$D$4</f>
        <v>0</v>
      </c>
      <c r="R177" s="20">
        <f>E177*'1-Data Input'!$D$5</f>
        <v>0</v>
      </c>
      <c r="S177" s="20">
        <f>F177*'1-Data Input'!$D$6</f>
        <v>0</v>
      </c>
      <c r="T177" s="20">
        <f>G177*'1-Data Input'!$D$7</f>
        <v>0</v>
      </c>
      <c r="U177" s="20">
        <f>H177*'1-Data Input'!$D$8</f>
        <v>0</v>
      </c>
      <c r="V177" s="20">
        <f>I177*'1-Data Input'!$D$9</f>
        <v>0</v>
      </c>
      <c r="W177" s="20">
        <f>J177*'1-Data Input'!$D$10</f>
        <v>0</v>
      </c>
      <c r="X177" s="20">
        <f>K177*'1-Data Input'!$D$11</f>
        <v>0</v>
      </c>
      <c r="Y177" s="20">
        <f>L177*'1-Data Input'!$D$12</f>
        <v>0</v>
      </c>
      <c r="Z177" s="21">
        <f>M177*'1-Data Input'!$D$13</f>
        <v>0</v>
      </c>
    </row>
    <row r="178" spans="1:26" x14ac:dyDescent="0.25">
      <c r="A178" s="32">
        <v>0.5</v>
      </c>
      <c r="B178" s="42">
        <v>5.1605136855986847E-2</v>
      </c>
      <c r="C178" s="42">
        <v>5.0352638705554377E-2</v>
      </c>
      <c r="D178" s="42">
        <v>5.2083111529403758E-2</v>
      </c>
      <c r="E178" s="42">
        <v>5.0651961728273992E-2</v>
      </c>
      <c r="F178" s="42">
        <v>5.1628039233779205E-2</v>
      </c>
      <c r="G178" s="42">
        <v>5.0577755153983203E-2</v>
      </c>
      <c r="H178" s="42">
        <v>5.1866541673919138E-2</v>
      </c>
      <c r="I178" s="42">
        <v>5.1233232442558667E-2</v>
      </c>
      <c r="J178" s="42">
        <v>5.0564996656334731E-2</v>
      </c>
      <c r="K178" s="42">
        <v>4.9760006193388544E-2</v>
      </c>
      <c r="L178" s="42">
        <v>5.1034839716364758E-2</v>
      </c>
      <c r="M178" s="42">
        <v>5.1121404233127832E-2</v>
      </c>
      <c r="N178" s="32">
        <v>0.5</v>
      </c>
      <c r="O178" s="20">
        <f>B178*'1-Data Input'!$D$2</f>
        <v>0</v>
      </c>
      <c r="P178" s="20">
        <f>C178*'1-Data Input'!$D$3</f>
        <v>0</v>
      </c>
      <c r="Q178" s="20">
        <f>D178*'1-Data Input'!$D$4</f>
        <v>0</v>
      </c>
      <c r="R178" s="20">
        <f>E178*'1-Data Input'!$D$5</f>
        <v>0</v>
      </c>
      <c r="S178" s="20">
        <f>F178*'1-Data Input'!$D$6</f>
        <v>0</v>
      </c>
      <c r="T178" s="20">
        <f>G178*'1-Data Input'!$D$7</f>
        <v>0</v>
      </c>
      <c r="U178" s="20">
        <f>H178*'1-Data Input'!$D$8</f>
        <v>0</v>
      </c>
      <c r="V178" s="20">
        <f>I178*'1-Data Input'!$D$9</f>
        <v>0</v>
      </c>
      <c r="W178" s="20">
        <f>J178*'1-Data Input'!$D$10</f>
        <v>0</v>
      </c>
      <c r="X178" s="20">
        <f>K178*'1-Data Input'!$D$11</f>
        <v>0</v>
      </c>
      <c r="Y178" s="20">
        <f>L178*'1-Data Input'!$D$12</f>
        <v>0</v>
      </c>
      <c r="Z178" s="21">
        <f>M178*'1-Data Input'!$D$13</f>
        <v>0</v>
      </c>
    </row>
    <row r="179" spans="1:26" x14ac:dyDescent="0.25">
      <c r="A179" s="32">
        <v>0.54166666666666696</v>
      </c>
      <c r="B179" s="42">
        <v>4.9173809502318977E-2</v>
      </c>
      <c r="C179" s="42">
        <v>4.8657654047373988E-2</v>
      </c>
      <c r="D179" s="42">
        <v>4.9712471130000532E-2</v>
      </c>
      <c r="E179" s="42">
        <v>4.9722148407351723E-2</v>
      </c>
      <c r="F179" s="42">
        <v>5.2565530483292836E-2</v>
      </c>
      <c r="G179" s="42">
        <v>5.0156273861033343E-2</v>
      </c>
      <c r="H179" s="42">
        <v>5.1464968603082362E-2</v>
      </c>
      <c r="I179" s="42">
        <v>5.1251581515318854E-2</v>
      </c>
      <c r="J179" s="42">
        <v>4.9955167550931705E-2</v>
      </c>
      <c r="K179" s="42">
        <v>4.8457072075559326E-2</v>
      </c>
      <c r="L179" s="42">
        <v>4.939974905812361E-2</v>
      </c>
      <c r="M179" s="42">
        <v>5.0460405349410896E-2</v>
      </c>
      <c r="N179" s="32">
        <v>0.54166666666666696</v>
      </c>
      <c r="O179" s="20">
        <f>B179*'1-Data Input'!$D$2</f>
        <v>0</v>
      </c>
      <c r="P179" s="20">
        <f>C179*'1-Data Input'!$D$3</f>
        <v>0</v>
      </c>
      <c r="Q179" s="20">
        <f>D179*'1-Data Input'!$D$4</f>
        <v>0</v>
      </c>
      <c r="R179" s="20">
        <f>E179*'1-Data Input'!$D$5</f>
        <v>0</v>
      </c>
      <c r="S179" s="20">
        <f>F179*'1-Data Input'!$D$6</f>
        <v>0</v>
      </c>
      <c r="T179" s="20">
        <f>G179*'1-Data Input'!$D$7</f>
        <v>0</v>
      </c>
      <c r="U179" s="20">
        <f>H179*'1-Data Input'!$D$8</f>
        <v>0</v>
      </c>
      <c r="V179" s="20">
        <f>I179*'1-Data Input'!$D$9</f>
        <v>0</v>
      </c>
      <c r="W179" s="20">
        <f>J179*'1-Data Input'!$D$10</f>
        <v>0</v>
      </c>
      <c r="X179" s="20">
        <f>K179*'1-Data Input'!$D$11</f>
        <v>0</v>
      </c>
      <c r="Y179" s="20">
        <f>L179*'1-Data Input'!$D$12</f>
        <v>0</v>
      </c>
      <c r="Z179" s="21">
        <f>M179*'1-Data Input'!$D$13</f>
        <v>0</v>
      </c>
    </row>
    <row r="180" spans="1:26" x14ac:dyDescent="0.25">
      <c r="A180" s="32">
        <v>0.58333333333333304</v>
      </c>
      <c r="B180" s="42">
        <v>4.7989974456336099E-2</v>
      </c>
      <c r="C180" s="42">
        <v>4.760127924412149E-2</v>
      </c>
      <c r="D180" s="42">
        <v>4.926768031653965E-2</v>
      </c>
      <c r="E180" s="42">
        <v>4.8878711187280148E-2</v>
      </c>
      <c r="F180" s="42">
        <v>5.043967004425487E-2</v>
      </c>
      <c r="G180" s="42">
        <v>4.8236192415372865E-2</v>
      </c>
      <c r="H180" s="42">
        <v>4.9593611586509628E-2</v>
      </c>
      <c r="I180" s="42">
        <v>4.8922123040144275E-2</v>
      </c>
      <c r="J180" s="42">
        <v>4.7554350441529357E-2</v>
      </c>
      <c r="K180" s="42">
        <v>4.6953627003174105E-2</v>
      </c>
      <c r="L180" s="42">
        <v>4.8921844946290677E-2</v>
      </c>
      <c r="M180" s="42">
        <v>4.7117995899672353E-2</v>
      </c>
      <c r="N180" s="32">
        <v>0.58333333333333304</v>
      </c>
      <c r="O180" s="20">
        <f>B180*'1-Data Input'!$D$2</f>
        <v>0</v>
      </c>
      <c r="P180" s="20">
        <f>C180*'1-Data Input'!$D$3</f>
        <v>0</v>
      </c>
      <c r="Q180" s="20">
        <f>D180*'1-Data Input'!$D$4</f>
        <v>0</v>
      </c>
      <c r="R180" s="20">
        <f>E180*'1-Data Input'!$D$5</f>
        <v>0</v>
      </c>
      <c r="S180" s="20">
        <f>F180*'1-Data Input'!$D$6</f>
        <v>0</v>
      </c>
      <c r="T180" s="20">
        <f>G180*'1-Data Input'!$D$7</f>
        <v>0</v>
      </c>
      <c r="U180" s="20">
        <f>H180*'1-Data Input'!$D$8</f>
        <v>0</v>
      </c>
      <c r="V180" s="20">
        <f>I180*'1-Data Input'!$D$9</f>
        <v>0</v>
      </c>
      <c r="W180" s="20">
        <f>J180*'1-Data Input'!$D$10</f>
        <v>0</v>
      </c>
      <c r="X180" s="20">
        <f>K180*'1-Data Input'!$D$11</f>
        <v>0</v>
      </c>
      <c r="Y180" s="20">
        <f>L180*'1-Data Input'!$D$12</f>
        <v>0</v>
      </c>
      <c r="Z180" s="21">
        <f>M180*'1-Data Input'!$D$13</f>
        <v>0</v>
      </c>
    </row>
    <row r="181" spans="1:26" x14ac:dyDescent="0.25">
      <c r="A181" s="32">
        <v>0.625</v>
      </c>
      <c r="B181" s="42">
        <v>4.667407434503091E-2</v>
      </c>
      <c r="C181" s="42">
        <v>4.6018557413464445E-2</v>
      </c>
      <c r="D181" s="42">
        <v>4.6106826450668686E-2</v>
      </c>
      <c r="E181" s="42">
        <v>4.6140080695601979E-2</v>
      </c>
      <c r="F181" s="42">
        <v>4.8475559856013269E-2</v>
      </c>
      <c r="G181" s="42">
        <v>4.7164672944769663E-2</v>
      </c>
      <c r="H181" s="42">
        <v>4.6962844109245554E-2</v>
      </c>
      <c r="I181" s="42">
        <v>4.6272429557035907E-2</v>
      </c>
      <c r="J181" s="42">
        <v>4.6845963096869274E-2</v>
      </c>
      <c r="K181" s="42">
        <v>4.6131067585352632E-2</v>
      </c>
      <c r="L181" s="42">
        <v>4.6082706119367954E-2</v>
      </c>
      <c r="M181" s="42">
        <v>4.6363459438070929E-2</v>
      </c>
      <c r="N181" s="32">
        <v>0.625</v>
      </c>
      <c r="O181" s="20">
        <f>B181*'1-Data Input'!$D$2</f>
        <v>0</v>
      </c>
      <c r="P181" s="20">
        <f>C181*'1-Data Input'!$D$3</f>
        <v>0</v>
      </c>
      <c r="Q181" s="20">
        <f>D181*'1-Data Input'!$D$4</f>
        <v>0</v>
      </c>
      <c r="R181" s="20">
        <f>E181*'1-Data Input'!$D$5</f>
        <v>0</v>
      </c>
      <c r="S181" s="20">
        <f>F181*'1-Data Input'!$D$6</f>
        <v>0</v>
      </c>
      <c r="T181" s="20">
        <f>G181*'1-Data Input'!$D$7</f>
        <v>0</v>
      </c>
      <c r="U181" s="20">
        <f>H181*'1-Data Input'!$D$8</f>
        <v>0</v>
      </c>
      <c r="V181" s="20">
        <f>I181*'1-Data Input'!$D$9</f>
        <v>0</v>
      </c>
      <c r="W181" s="20">
        <f>J181*'1-Data Input'!$D$10</f>
        <v>0</v>
      </c>
      <c r="X181" s="20">
        <f>K181*'1-Data Input'!$D$11</f>
        <v>0</v>
      </c>
      <c r="Y181" s="20">
        <f>L181*'1-Data Input'!$D$12</f>
        <v>0</v>
      </c>
      <c r="Z181" s="21">
        <f>M181*'1-Data Input'!$D$13</f>
        <v>0</v>
      </c>
    </row>
    <row r="182" spans="1:26" x14ac:dyDescent="0.25">
      <c r="A182" s="32">
        <v>0.66666666666666696</v>
      </c>
      <c r="B182" s="42">
        <v>4.2629462955986699E-2</v>
      </c>
      <c r="C182" s="42">
        <v>4.2954334334343543E-2</v>
      </c>
      <c r="D182" s="42">
        <v>4.3148494359437357E-2</v>
      </c>
      <c r="E182" s="42">
        <v>4.1960493603849729E-2</v>
      </c>
      <c r="F182" s="42">
        <v>4.4147915390828837E-2</v>
      </c>
      <c r="G182" s="42">
        <v>4.4359378976838892E-2</v>
      </c>
      <c r="H182" s="42">
        <v>4.4610394601868358E-2</v>
      </c>
      <c r="I182" s="42">
        <v>4.4430969040745429E-2</v>
      </c>
      <c r="J182" s="42">
        <v>4.5584725628876638E-2</v>
      </c>
      <c r="K182" s="42">
        <v>4.3319656266935035E-2</v>
      </c>
      <c r="L182" s="42">
        <v>4.305696515690622E-2</v>
      </c>
      <c r="M182" s="42">
        <v>4.3361526771831881E-2</v>
      </c>
      <c r="N182" s="32">
        <v>0.66666666666666696</v>
      </c>
      <c r="O182" s="20">
        <f>B182*'1-Data Input'!$D$2</f>
        <v>0</v>
      </c>
      <c r="P182" s="20">
        <f>C182*'1-Data Input'!$D$3</f>
        <v>0</v>
      </c>
      <c r="Q182" s="20">
        <f>D182*'1-Data Input'!$D$4</f>
        <v>0</v>
      </c>
      <c r="R182" s="20">
        <f>E182*'1-Data Input'!$D$5</f>
        <v>0</v>
      </c>
      <c r="S182" s="20">
        <f>F182*'1-Data Input'!$D$6</f>
        <v>0</v>
      </c>
      <c r="T182" s="20">
        <f>G182*'1-Data Input'!$D$7</f>
        <v>0</v>
      </c>
      <c r="U182" s="20">
        <f>H182*'1-Data Input'!$D$8</f>
        <v>0</v>
      </c>
      <c r="V182" s="20">
        <f>I182*'1-Data Input'!$D$9</f>
        <v>0</v>
      </c>
      <c r="W182" s="20">
        <f>J182*'1-Data Input'!$D$10</f>
        <v>0</v>
      </c>
      <c r="X182" s="20">
        <f>K182*'1-Data Input'!$D$11</f>
        <v>0</v>
      </c>
      <c r="Y182" s="20">
        <f>L182*'1-Data Input'!$D$12</f>
        <v>0</v>
      </c>
      <c r="Z182" s="21">
        <f>M182*'1-Data Input'!$D$13</f>
        <v>0</v>
      </c>
    </row>
    <row r="183" spans="1:26" x14ac:dyDescent="0.25">
      <c r="A183" s="32">
        <v>0.70833333333333304</v>
      </c>
      <c r="B183" s="42">
        <v>3.9752534770403927E-2</v>
      </c>
      <c r="C183" s="42">
        <v>3.8583445557819722E-2</v>
      </c>
      <c r="D183" s="42">
        <v>3.6463383069463555E-2</v>
      </c>
      <c r="E183" s="42">
        <v>3.7924189220567471E-2</v>
      </c>
      <c r="F183" s="42">
        <v>3.9029125141137003E-2</v>
      </c>
      <c r="G183" s="42">
        <v>3.9725120895902265E-2</v>
      </c>
      <c r="H183" s="42">
        <v>4.0581410656839255E-2</v>
      </c>
      <c r="I183" s="42">
        <v>4.0499024877847602E-2</v>
      </c>
      <c r="J183" s="42">
        <v>4.1764053885177337E-2</v>
      </c>
      <c r="K183" s="42">
        <v>4.0667337617093742E-2</v>
      </c>
      <c r="L183" s="42">
        <v>3.8857150576946789E-2</v>
      </c>
      <c r="M183" s="42">
        <v>3.8296362998745517E-2</v>
      </c>
      <c r="N183" s="32">
        <v>0.70833333333333304</v>
      </c>
      <c r="O183" s="20">
        <f>B183*'1-Data Input'!$D$2</f>
        <v>0</v>
      </c>
      <c r="P183" s="20">
        <f>C183*'1-Data Input'!$D$3</f>
        <v>0</v>
      </c>
      <c r="Q183" s="20">
        <f>D183*'1-Data Input'!$D$4</f>
        <v>0</v>
      </c>
      <c r="R183" s="20">
        <f>E183*'1-Data Input'!$D$5</f>
        <v>0</v>
      </c>
      <c r="S183" s="20">
        <f>F183*'1-Data Input'!$D$6</f>
        <v>0</v>
      </c>
      <c r="T183" s="20">
        <f>G183*'1-Data Input'!$D$7</f>
        <v>0</v>
      </c>
      <c r="U183" s="20">
        <f>H183*'1-Data Input'!$D$8</f>
        <v>0</v>
      </c>
      <c r="V183" s="20">
        <f>I183*'1-Data Input'!$D$9</f>
        <v>0</v>
      </c>
      <c r="W183" s="20">
        <f>J183*'1-Data Input'!$D$10</f>
        <v>0</v>
      </c>
      <c r="X183" s="20">
        <f>K183*'1-Data Input'!$D$11</f>
        <v>0</v>
      </c>
      <c r="Y183" s="20">
        <f>L183*'1-Data Input'!$D$12</f>
        <v>0</v>
      </c>
      <c r="Z183" s="21">
        <f>M183*'1-Data Input'!$D$13</f>
        <v>0</v>
      </c>
    </row>
    <row r="184" spans="1:26" x14ac:dyDescent="0.25">
      <c r="A184" s="32">
        <v>0.75</v>
      </c>
      <c r="B184" s="42">
        <v>3.7417643417672869E-2</v>
      </c>
      <c r="C184" s="42">
        <v>3.7488422895911644E-2</v>
      </c>
      <c r="D184" s="42">
        <v>3.8043810002399037E-2</v>
      </c>
      <c r="E184" s="42">
        <v>3.7687925180005251E-2</v>
      </c>
      <c r="F184" s="42">
        <v>3.5700591068626733E-2</v>
      </c>
      <c r="G184" s="42">
        <v>3.7398829218630698E-2</v>
      </c>
      <c r="H184" s="42">
        <v>3.8268720859445896E-2</v>
      </c>
      <c r="I184" s="42">
        <v>3.8264369945267336E-2</v>
      </c>
      <c r="J184" s="42">
        <v>3.8801531810634206E-2</v>
      </c>
      <c r="K184" s="42">
        <v>3.831578539908647E-2</v>
      </c>
      <c r="L184" s="42">
        <v>3.8964805655142369E-2</v>
      </c>
      <c r="M184" s="42">
        <v>3.7321493575905113E-2</v>
      </c>
      <c r="N184" s="32">
        <v>0.75</v>
      </c>
      <c r="O184" s="20">
        <f>B184*'1-Data Input'!$D$2</f>
        <v>0</v>
      </c>
      <c r="P184" s="20">
        <f>C184*'1-Data Input'!$D$3</f>
        <v>0</v>
      </c>
      <c r="Q184" s="20">
        <f>D184*'1-Data Input'!$D$4</f>
        <v>0</v>
      </c>
      <c r="R184" s="20">
        <f>E184*'1-Data Input'!$D$5</f>
        <v>0</v>
      </c>
      <c r="S184" s="20">
        <f>F184*'1-Data Input'!$D$6</f>
        <v>0</v>
      </c>
      <c r="T184" s="20">
        <f>G184*'1-Data Input'!$D$7</f>
        <v>0</v>
      </c>
      <c r="U184" s="20">
        <f>H184*'1-Data Input'!$D$8</f>
        <v>0</v>
      </c>
      <c r="V184" s="20">
        <f>I184*'1-Data Input'!$D$9</f>
        <v>0</v>
      </c>
      <c r="W184" s="20">
        <f>J184*'1-Data Input'!$D$10</f>
        <v>0</v>
      </c>
      <c r="X184" s="20">
        <f>K184*'1-Data Input'!$D$11</f>
        <v>0</v>
      </c>
      <c r="Y184" s="20">
        <f>L184*'1-Data Input'!$D$12</f>
        <v>0</v>
      </c>
      <c r="Z184" s="21">
        <f>M184*'1-Data Input'!$D$13</f>
        <v>0</v>
      </c>
    </row>
    <row r="185" spans="1:26" x14ac:dyDescent="0.25">
      <c r="A185" s="32">
        <v>0.79166666666666696</v>
      </c>
      <c r="B185" s="42">
        <v>3.7470374432963437E-2</v>
      </c>
      <c r="C185" s="42">
        <v>3.6980479610724037E-2</v>
      </c>
      <c r="D185" s="42">
        <v>3.6272217656018665E-2</v>
      </c>
      <c r="E185" s="42">
        <v>3.6204796718927588E-2</v>
      </c>
      <c r="F185" s="42">
        <v>3.4508920853575938E-2</v>
      </c>
      <c r="G185" s="42">
        <v>3.5648765589208452E-2</v>
      </c>
      <c r="H185" s="42">
        <v>3.7140870419570975E-2</v>
      </c>
      <c r="I185" s="42">
        <v>3.7631326935040788E-2</v>
      </c>
      <c r="J185" s="42">
        <v>3.7717006185684493E-2</v>
      </c>
      <c r="K185" s="42">
        <v>3.8080049547108454E-2</v>
      </c>
      <c r="L185" s="42">
        <v>3.6359552762809264E-2</v>
      </c>
      <c r="M185" s="42">
        <v>3.6023191994868614E-2</v>
      </c>
      <c r="N185" s="32">
        <v>0.79166666666666696</v>
      </c>
      <c r="O185" s="20">
        <f>B185*'1-Data Input'!$D$2</f>
        <v>0</v>
      </c>
      <c r="P185" s="20">
        <f>C185*'1-Data Input'!$D$3</f>
        <v>0</v>
      </c>
      <c r="Q185" s="20">
        <f>D185*'1-Data Input'!$D$4</f>
        <v>0</v>
      </c>
      <c r="R185" s="20">
        <f>E185*'1-Data Input'!$D$5</f>
        <v>0</v>
      </c>
      <c r="S185" s="20">
        <f>F185*'1-Data Input'!$D$6</f>
        <v>0</v>
      </c>
      <c r="T185" s="20">
        <f>G185*'1-Data Input'!$D$7</f>
        <v>0</v>
      </c>
      <c r="U185" s="20">
        <f>H185*'1-Data Input'!$D$8</f>
        <v>0</v>
      </c>
      <c r="V185" s="20">
        <f>I185*'1-Data Input'!$D$9</f>
        <v>0</v>
      </c>
      <c r="W185" s="20">
        <f>J185*'1-Data Input'!$D$10</f>
        <v>0</v>
      </c>
      <c r="X185" s="20">
        <f>K185*'1-Data Input'!$D$11</f>
        <v>0</v>
      </c>
      <c r="Y185" s="20">
        <f>L185*'1-Data Input'!$D$12</f>
        <v>0</v>
      </c>
      <c r="Z185" s="21">
        <f>M185*'1-Data Input'!$D$13</f>
        <v>0</v>
      </c>
    </row>
    <row r="186" spans="1:26" x14ac:dyDescent="0.25">
      <c r="A186" s="32">
        <v>0.83333333333333304</v>
      </c>
      <c r="B186" s="42">
        <v>3.3975875798031657E-2</v>
      </c>
      <c r="C186" s="42">
        <v>3.5896499194146128E-2</v>
      </c>
      <c r="D186" s="42">
        <v>3.5062765188778218E-2</v>
      </c>
      <c r="E186" s="42">
        <v>3.6196667203553412E-2</v>
      </c>
      <c r="F186" s="42">
        <v>3.3175306540887531E-2</v>
      </c>
      <c r="G186" s="42">
        <v>3.5713922117587171E-2</v>
      </c>
      <c r="H186" s="42">
        <v>3.57837389854559E-2</v>
      </c>
      <c r="I186" s="42">
        <v>3.521274439217386E-2</v>
      </c>
      <c r="J186" s="42">
        <v>3.6366450313365148E-2</v>
      </c>
      <c r="K186" s="42">
        <v>3.7044205310830684E-2</v>
      </c>
      <c r="L186" s="42">
        <v>3.6577395979863855E-2</v>
      </c>
      <c r="M186" s="42">
        <v>3.5718883074817791E-2</v>
      </c>
      <c r="N186" s="32">
        <v>0.83333333333333304</v>
      </c>
      <c r="O186" s="20">
        <f>B186*'1-Data Input'!$D$2</f>
        <v>0</v>
      </c>
      <c r="P186" s="20">
        <f>C186*'1-Data Input'!$D$3</f>
        <v>0</v>
      </c>
      <c r="Q186" s="20">
        <f>D186*'1-Data Input'!$D$4</f>
        <v>0</v>
      </c>
      <c r="R186" s="20">
        <f>E186*'1-Data Input'!$D$5</f>
        <v>0</v>
      </c>
      <c r="S186" s="20">
        <f>F186*'1-Data Input'!$D$6</f>
        <v>0</v>
      </c>
      <c r="T186" s="20">
        <f>G186*'1-Data Input'!$D$7</f>
        <v>0</v>
      </c>
      <c r="U186" s="20">
        <f>H186*'1-Data Input'!$D$8</f>
        <v>0</v>
      </c>
      <c r="V186" s="20">
        <f>I186*'1-Data Input'!$D$9</f>
        <v>0</v>
      </c>
      <c r="W186" s="20">
        <f>J186*'1-Data Input'!$D$10</f>
        <v>0</v>
      </c>
      <c r="X186" s="20">
        <f>K186*'1-Data Input'!$D$11</f>
        <v>0</v>
      </c>
      <c r="Y186" s="20">
        <f>L186*'1-Data Input'!$D$12</f>
        <v>0</v>
      </c>
      <c r="Z186" s="21">
        <f>M186*'1-Data Input'!$D$13</f>
        <v>0</v>
      </c>
    </row>
    <row r="187" spans="1:26" x14ac:dyDescent="0.25">
      <c r="A187" s="32">
        <v>0.875</v>
      </c>
      <c r="B187" s="42">
        <v>3.6013858280883389E-2</v>
      </c>
      <c r="C187" s="42">
        <v>3.4603636303405932E-2</v>
      </c>
      <c r="D187" s="42">
        <v>3.3217356494631999E-2</v>
      </c>
      <c r="E187" s="42">
        <v>3.569111296622135E-2</v>
      </c>
      <c r="F187" s="42">
        <v>3.3422883455371769E-2</v>
      </c>
      <c r="G187" s="42">
        <v>3.3588699414609312E-2</v>
      </c>
      <c r="H187" s="42">
        <v>3.5008424640771023E-2</v>
      </c>
      <c r="I187" s="42">
        <v>3.5164687296849552E-2</v>
      </c>
      <c r="J187" s="42">
        <v>3.6855391578429451E-2</v>
      </c>
      <c r="K187" s="42">
        <v>3.5627467678253456E-2</v>
      </c>
      <c r="L187" s="42">
        <v>3.5196877918296975E-2</v>
      </c>
      <c r="M187" s="42">
        <v>3.3698471392513155E-2</v>
      </c>
      <c r="N187" s="32">
        <v>0.875</v>
      </c>
      <c r="O187" s="20">
        <f>B187*'1-Data Input'!$D$2</f>
        <v>0</v>
      </c>
      <c r="P187" s="20">
        <f>C187*'1-Data Input'!$D$3</f>
        <v>0</v>
      </c>
      <c r="Q187" s="20">
        <f>D187*'1-Data Input'!$D$4</f>
        <v>0</v>
      </c>
      <c r="R187" s="20">
        <f>E187*'1-Data Input'!$D$5</f>
        <v>0</v>
      </c>
      <c r="S187" s="20">
        <f>F187*'1-Data Input'!$D$6</f>
        <v>0</v>
      </c>
      <c r="T187" s="20">
        <f>G187*'1-Data Input'!$D$7</f>
        <v>0</v>
      </c>
      <c r="U187" s="20">
        <f>H187*'1-Data Input'!$D$8</f>
        <v>0</v>
      </c>
      <c r="V187" s="20">
        <f>I187*'1-Data Input'!$D$9</f>
        <v>0</v>
      </c>
      <c r="W187" s="20">
        <f>J187*'1-Data Input'!$D$10</f>
        <v>0</v>
      </c>
      <c r="X187" s="20">
        <f>K187*'1-Data Input'!$D$11</f>
        <v>0</v>
      </c>
      <c r="Y187" s="20">
        <f>L187*'1-Data Input'!$D$12</f>
        <v>0</v>
      </c>
      <c r="Z187" s="21">
        <f>M187*'1-Data Input'!$D$13</f>
        <v>0</v>
      </c>
    </row>
    <row r="188" spans="1:26" x14ac:dyDescent="0.25">
      <c r="A188" s="32">
        <v>0.91666666666666696</v>
      </c>
      <c r="B188" s="42">
        <v>3.2242878106319976E-2</v>
      </c>
      <c r="C188" s="42">
        <v>3.2872764347902497E-2</v>
      </c>
      <c r="D188" s="42">
        <v>3.3421770996137426E-2</v>
      </c>
      <c r="E188" s="42">
        <v>3.2022161058910023E-2</v>
      </c>
      <c r="F188" s="42">
        <v>3.1168283020801994E-2</v>
      </c>
      <c r="G188" s="42">
        <v>3.304046831254772E-2</v>
      </c>
      <c r="H188" s="42">
        <v>3.3551893931696358E-2</v>
      </c>
      <c r="I188" s="42">
        <v>3.3909086460830844E-2</v>
      </c>
      <c r="J188" s="42">
        <v>3.4473824125132002E-2</v>
      </c>
      <c r="K188" s="42">
        <v>3.5056127583804282E-2</v>
      </c>
      <c r="L188" s="42">
        <v>3.4545881327796631E-2</v>
      </c>
      <c r="M188" s="42">
        <v>3.3334298422616267E-2</v>
      </c>
      <c r="N188" s="32">
        <v>0.91666666666666696</v>
      </c>
      <c r="O188" s="20">
        <f>B188*'1-Data Input'!$D$2</f>
        <v>0</v>
      </c>
      <c r="P188" s="20">
        <f>C188*'1-Data Input'!$D$3</f>
        <v>0</v>
      </c>
      <c r="Q188" s="20">
        <f>D188*'1-Data Input'!$D$4</f>
        <v>0</v>
      </c>
      <c r="R188" s="20">
        <f>E188*'1-Data Input'!$D$5</f>
        <v>0</v>
      </c>
      <c r="S188" s="20">
        <f>F188*'1-Data Input'!$D$6</f>
        <v>0</v>
      </c>
      <c r="T188" s="20">
        <f>G188*'1-Data Input'!$D$7</f>
        <v>0</v>
      </c>
      <c r="U188" s="20">
        <f>H188*'1-Data Input'!$D$8</f>
        <v>0</v>
      </c>
      <c r="V188" s="20">
        <f>I188*'1-Data Input'!$D$9</f>
        <v>0</v>
      </c>
      <c r="W188" s="20">
        <f>J188*'1-Data Input'!$D$10</f>
        <v>0</v>
      </c>
      <c r="X188" s="20">
        <f>K188*'1-Data Input'!$D$11</f>
        <v>0</v>
      </c>
      <c r="Y188" s="20">
        <f>L188*'1-Data Input'!$D$12</f>
        <v>0</v>
      </c>
      <c r="Z188" s="21">
        <f>M188*'1-Data Input'!$D$13</f>
        <v>0</v>
      </c>
    </row>
    <row r="189" spans="1:26" x14ac:dyDescent="0.25">
      <c r="A189" s="32">
        <v>0.95833333333333304</v>
      </c>
      <c r="B189" s="43">
        <v>3.2854747905367306E-2</v>
      </c>
      <c r="C189" s="43">
        <v>3.317274534603866E-2</v>
      </c>
      <c r="D189" s="43">
        <v>3.2876665658789613E-2</v>
      </c>
      <c r="E189" s="43">
        <v>3.2365633083469285E-2</v>
      </c>
      <c r="F189" s="43">
        <v>3.2229012556636676E-2</v>
      </c>
      <c r="G189" s="43">
        <v>3.3128022397556633E-2</v>
      </c>
      <c r="H189" s="43">
        <v>3.2912204375511914E-2</v>
      </c>
      <c r="I189" s="43">
        <v>3.3430263038326843E-2</v>
      </c>
      <c r="J189" s="43">
        <v>3.4988174936254765E-2</v>
      </c>
      <c r="K189" s="43">
        <v>3.3436556475961901E-2</v>
      </c>
      <c r="L189" s="43">
        <v>3.3394183079492511E-2</v>
      </c>
      <c r="M189" s="43">
        <v>3.1927493251233778E-2</v>
      </c>
      <c r="N189" s="32">
        <v>0.95833333333333304</v>
      </c>
      <c r="O189" s="26">
        <f>B189*'1-Data Input'!$D$2</f>
        <v>0</v>
      </c>
      <c r="P189" s="26">
        <f>C189*'1-Data Input'!$D$3</f>
        <v>0</v>
      </c>
      <c r="Q189" s="26">
        <f>D189*'1-Data Input'!$D$4</f>
        <v>0</v>
      </c>
      <c r="R189" s="26">
        <f>E189*'1-Data Input'!$D$5</f>
        <v>0</v>
      </c>
      <c r="S189" s="26">
        <f>F189*'1-Data Input'!$D$6</f>
        <v>0</v>
      </c>
      <c r="T189" s="26">
        <f>G189*'1-Data Input'!$D$7</f>
        <v>0</v>
      </c>
      <c r="U189" s="26">
        <f>H189*'1-Data Input'!$D$8</f>
        <v>0</v>
      </c>
      <c r="V189" s="26">
        <f>I189*'1-Data Input'!$D$9</f>
        <v>0</v>
      </c>
      <c r="W189" s="26">
        <f>J189*'1-Data Input'!$D$10</f>
        <v>0</v>
      </c>
      <c r="X189" s="26">
        <f>K189*'1-Data Input'!$D$11</f>
        <v>0</v>
      </c>
      <c r="Y189" s="26">
        <f>L189*'1-Data Input'!$D$12</f>
        <v>0</v>
      </c>
      <c r="Z189" s="27">
        <f>M189*'1-Data Input'!$D$13</f>
        <v>0</v>
      </c>
    </row>
    <row r="190" spans="1:26" ht="20.25" x14ac:dyDescent="0.25">
      <c r="A190" s="65" t="s">
        <v>33</v>
      </c>
      <c r="B190" s="65"/>
      <c r="C190" s="65"/>
      <c r="D190" s="65"/>
      <c r="E190" s="65"/>
      <c r="F190" s="65"/>
      <c r="G190" s="66" t="s">
        <v>64</v>
      </c>
      <c r="H190" s="66"/>
      <c r="I190" s="66"/>
      <c r="J190" s="66"/>
      <c r="K190" s="66"/>
      <c r="L190" s="66"/>
      <c r="M190" s="66"/>
      <c r="N190" s="66"/>
      <c r="O190" s="66"/>
      <c r="P190" s="66"/>
      <c r="Q190" s="66"/>
      <c r="R190" s="66"/>
      <c r="S190" s="66"/>
      <c r="T190" s="66"/>
      <c r="U190" s="66"/>
      <c r="V190" s="66"/>
      <c r="W190" s="66"/>
      <c r="X190" s="66"/>
      <c r="Y190" s="66"/>
      <c r="Z190" s="66"/>
    </row>
    <row r="191" spans="1:26" ht="33.75" x14ac:dyDescent="0.5">
      <c r="A191" s="67" t="s">
        <v>15</v>
      </c>
      <c r="B191" s="67"/>
      <c r="C191" s="67"/>
      <c r="D191" s="67"/>
      <c r="E191" s="67"/>
      <c r="F191" s="67"/>
      <c r="G191" s="67"/>
      <c r="H191" s="67"/>
      <c r="I191" s="67"/>
      <c r="J191" s="67"/>
      <c r="K191" s="67"/>
      <c r="L191" s="67"/>
      <c r="M191" s="68"/>
      <c r="N191" s="69" t="s">
        <v>27</v>
      </c>
      <c r="O191" s="69"/>
      <c r="P191" s="69"/>
      <c r="Q191" s="69"/>
      <c r="R191" s="69"/>
      <c r="S191" s="69"/>
      <c r="T191" s="69"/>
      <c r="U191" s="69"/>
      <c r="V191" s="69"/>
      <c r="W191" s="69"/>
      <c r="X191" s="69"/>
      <c r="Y191" s="69"/>
      <c r="Z191" s="69"/>
    </row>
    <row r="192" spans="1:26" ht="46.5" x14ac:dyDescent="0.25">
      <c r="A192" s="28" t="s">
        <v>30</v>
      </c>
      <c r="B192" s="29" t="s">
        <v>16</v>
      </c>
      <c r="C192" s="29" t="s">
        <v>17</v>
      </c>
      <c r="D192" s="29" t="s">
        <v>18</v>
      </c>
      <c r="E192" s="29" t="s">
        <v>19</v>
      </c>
      <c r="F192" s="29" t="s">
        <v>4</v>
      </c>
      <c r="G192" s="29" t="s">
        <v>20</v>
      </c>
      <c r="H192" s="29" t="s">
        <v>21</v>
      </c>
      <c r="I192" s="29" t="s">
        <v>22</v>
      </c>
      <c r="J192" s="29" t="s">
        <v>23</v>
      </c>
      <c r="K192" s="29" t="s">
        <v>24</v>
      </c>
      <c r="L192" s="29" t="s">
        <v>25</v>
      </c>
      <c r="M192" s="30" t="s">
        <v>26</v>
      </c>
      <c r="N192" s="40" t="s">
        <v>30</v>
      </c>
      <c r="O192" s="40" t="s">
        <v>16</v>
      </c>
      <c r="P192" s="40" t="s">
        <v>17</v>
      </c>
      <c r="Q192" s="40" t="s">
        <v>18</v>
      </c>
      <c r="R192" s="40" t="s">
        <v>19</v>
      </c>
      <c r="S192" s="40" t="s">
        <v>4</v>
      </c>
      <c r="T192" s="40" t="s">
        <v>20</v>
      </c>
      <c r="U192" s="40" t="s">
        <v>21</v>
      </c>
      <c r="V192" s="40" t="s">
        <v>22</v>
      </c>
      <c r="W192" s="40" t="s">
        <v>23</v>
      </c>
      <c r="X192" s="40" t="s">
        <v>24</v>
      </c>
      <c r="Y192" s="40" t="s">
        <v>25</v>
      </c>
      <c r="Z192" s="40" t="s">
        <v>26</v>
      </c>
    </row>
    <row r="193" spans="1:26" x14ac:dyDescent="0.25">
      <c r="A193" s="32">
        <v>0</v>
      </c>
      <c r="B193" s="42">
        <v>1.2422445932011077E-2</v>
      </c>
      <c r="C193" s="42">
        <v>1.1173925466345564E-2</v>
      </c>
      <c r="D193" s="42">
        <v>9.930083487828225E-3</v>
      </c>
      <c r="E193" s="42">
        <v>9.2551398107205869E-3</v>
      </c>
      <c r="F193" s="42">
        <v>9.155964205627842E-3</v>
      </c>
      <c r="G193" s="42">
        <v>7.4906248215384809E-3</v>
      </c>
      <c r="H193" s="42">
        <v>8.3684641036934487E-3</v>
      </c>
      <c r="I193" s="42">
        <v>8.5897824203534489E-3</v>
      </c>
      <c r="J193" s="42">
        <v>8.9316187029512308E-3</v>
      </c>
      <c r="K193" s="42">
        <v>1.2403528970013691E-2</v>
      </c>
      <c r="L193" s="42">
        <v>1.2702425543648317E-2</v>
      </c>
      <c r="M193" s="42">
        <v>1.3560890594179791E-2</v>
      </c>
      <c r="N193" s="32">
        <v>0</v>
      </c>
      <c r="O193" s="41">
        <f>B193*'1-Data Input'!$D$2</f>
        <v>0</v>
      </c>
      <c r="P193" s="41">
        <f>C193*'1-Data Input'!$D$3</f>
        <v>0</v>
      </c>
      <c r="Q193" s="41">
        <f>D193*'1-Data Input'!$D$4</f>
        <v>0</v>
      </c>
      <c r="R193" s="41">
        <f>E193*'1-Data Input'!$D$5</f>
        <v>0</v>
      </c>
      <c r="S193" s="41">
        <f>F193*'1-Data Input'!$D$6</f>
        <v>0</v>
      </c>
      <c r="T193" s="41">
        <f>G193*'1-Data Input'!$D$7</f>
        <v>0</v>
      </c>
      <c r="U193" s="41">
        <f>H193*'1-Data Input'!$D$8</f>
        <v>0</v>
      </c>
      <c r="V193" s="41">
        <f>I193*'1-Data Input'!$D$9</f>
        <v>0</v>
      </c>
      <c r="W193" s="41">
        <f>J193*'1-Data Input'!$D$10</f>
        <v>0</v>
      </c>
      <c r="X193" s="41">
        <f>K193*'1-Data Input'!$D$11</f>
        <v>0</v>
      </c>
      <c r="Y193" s="41">
        <f>L193*'1-Data Input'!$D$12</f>
        <v>0</v>
      </c>
      <c r="Z193" s="41">
        <f>M193*'1-Data Input'!$D$13</f>
        <v>0</v>
      </c>
    </row>
    <row r="194" spans="1:26" x14ac:dyDescent="0.25">
      <c r="A194" s="32">
        <v>4.1666666666666699E-2</v>
      </c>
      <c r="B194" s="42">
        <v>1.3388099696853692E-2</v>
      </c>
      <c r="C194" s="42">
        <v>1.1701157870389268E-2</v>
      </c>
      <c r="D194" s="42">
        <v>1.0866140778169567E-2</v>
      </c>
      <c r="E194" s="42">
        <v>9.7575443916818744E-3</v>
      </c>
      <c r="F194" s="42">
        <v>9.2895252957675162E-3</v>
      </c>
      <c r="G194" s="42">
        <v>7.4620709785084742E-3</v>
      </c>
      <c r="H194" s="42">
        <v>8.275933540848544E-3</v>
      </c>
      <c r="I194" s="42">
        <v>8.4524304259320521E-3</v>
      </c>
      <c r="J194" s="42">
        <v>8.8382456162945655E-3</v>
      </c>
      <c r="K194" s="42">
        <v>1.3126576818403282E-2</v>
      </c>
      <c r="L194" s="42">
        <v>1.3427393245407758E-2</v>
      </c>
      <c r="M194" s="42">
        <v>1.4543759626036908E-2</v>
      </c>
      <c r="N194" s="32">
        <v>4.1666666666666699E-2</v>
      </c>
      <c r="O194" s="20">
        <f>B194*'1-Data Input'!$D$2</f>
        <v>0</v>
      </c>
      <c r="P194" s="20">
        <f>C194*'1-Data Input'!$D$3</f>
        <v>0</v>
      </c>
      <c r="Q194" s="20">
        <f>D194*'1-Data Input'!$D$4</f>
        <v>0</v>
      </c>
      <c r="R194" s="20">
        <f>E194*'1-Data Input'!$D$5</f>
        <v>0</v>
      </c>
      <c r="S194" s="20">
        <f>F194*'1-Data Input'!$D$6</f>
        <v>0</v>
      </c>
      <c r="T194" s="20">
        <f>G194*'1-Data Input'!$D$7</f>
        <v>0</v>
      </c>
      <c r="U194" s="20">
        <f>H194*'1-Data Input'!$D$8</f>
        <v>0</v>
      </c>
      <c r="V194" s="20">
        <f>I194*'1-Data Input'!$D$9</f>
        <v>0</v>
      </c>
      <c r="W194" s="20">
        <f>J194*'1-Data Input'!$D$10</f>
        <v>0</v>
      </c>
      <c r="X194" s="20">
        <f>K194*'1-Data Input'!$D$11</f>
        <v>0</v>
      </c>
      <c r="Y194" s="20">
        <f>L194*'1-Data Input'!$D$12</f>
        <v>0</v>
      </c>
      <c r="Z194" s="21">
        <f>M194*'1-Data Input'!$D$13</f>
        <v>0</v>
      </c>
    </row>
    <row r="195" spans="1:26" x14ac:dyDescent="0.25">
      <c r="A195" s="32">
        <v>8.3333333333333301E-2</v>
      </c>
      <c r="B195" s="42">
        <v>1.3898516686841932E-2</v>
      </c>
      <c r="C195" s="42">
        <v>1.2207981278147408E-2</v>
      </c>
      <c r="D195" s="42">
        <v>1.138718237667672E-2</v>
      </c>
      <c r="E195" s="42">
        <v>1.0147967228693959E-2</v>
      </c>
      <c r="F195" s="42">
        <v>9.4371454480271597E-3</v>
      </c>
      <c r="G195" s="42">
        <v>7.5731137014029455E-3</v>
      </c>
      <c r="H195" s="42">
        <v>8.3314518785554872E-3</v>
      </c>
      <c r="I195" s="42">
        <v>8.5510421142345958E-3</v>
      </c>
      <c r="J195" s="42">
        <v>8.8994210868627247E-3</v>
      </c>
      <c r="K195" s="42">
        <v>1.3737909119402206E-2</v>
      </c>
      <c r="L195" s="42">
        <v>1.4068710827733418E-2</v>
      </c>
      <c r="M195" s="42">
        <v>1.5084168715717796E-2</v>
      </c>
      <c r="N195" s="32">
        <v>8.3333333333333301E-2</v>
      </c>
      <c r="O195" s="20">
        <f>B195*'1-Data Input'!$D$2</f>
        <v>0</v>
      </c>
      <c r="P195" s="20">
        <f>C195*'1-Data Input'!$D$3</f>
        <v>0</v>
      </c>
      <c r="Q195" s="20">
        <f>D195*'1-Data Input'!$D$4</f>
        <v>0</v>
      </c>
      <c r="R195" s="20">
        <f>E195*'1-Data Input'!$D$5</f>
        <v>0</v>
      </c>
      <c r="S195" s="20">
        <f>F195*'1-Data Input'!$D$6</f>
        <v>0</v>
      </c>
      <c r="T195" s="20">
        <f>G195*'1-Data Input'!$D$7</f>
        <v>0</v>
      </c>
      <c r="U195" s="20">
        <f>H195*'1-Data Input'!$D$8</f>
        <v>0</v>
      </c>
      <c r="V195" s="20">
        <f>I195*'1-Data Input'!$D$9</f>
        <v>0</v>
      </c>
      <c r="W195" s="20">
        <f>J195*'1-Data Input'!$D$10</f>
        <v>0</v>
      </c>
      <c r="X195" s="20">
        <f>K195*'1-Data Input'!$D$11</f>
        <v>0</v>
      </c>
      <c r="Y195" s="20">
        <f>L195*'1-Data Input'!$D$12</f>
        <v>0</v>
      </c>
      <c r="Z195" s="21">
        <f>M195*'1-Data Input'!$D$13</f>
        <v>0</v>
      </c>
    </row>
    <row r="196" spans="1:26" x14ac:dyDescent="0.25">
      <c r="A196" s="32">
        <v>0.125</v>
      </c>
      <c r="B196" s="42">
        <v>1.4105442493593922E-2</v>
      </c>
      <c r="C196" s="42">
        <v>1.2265806767623167E-2</v>
      </c>
      <c r="D196" s="42">
        <v>1.1484120348492007E-2</v>
      </c>
      <c r="E196" s="42">
        <v>1.0841043427730917E-2</v>
      </c>
      <c r="F196" s="42">
        <v>1.0277174409695127E-2</v>
      </c>
      <c r="G196" s="42">
        <v>8.4931819768142795E-3</v>
      </c>
      <c r="H196" s="42">
        <v>9.5528553081082688E-3</v>
      </c>
      <c r="I196" s="42">
        <v>9.931605750470163E-3</v>
      </c>
      <c r="J196" s="42">
        <v>9.627087210462933E-3</v>
      </c>
      <c r="K196" s="42">
        <v>1.4414408823045684E-2</v>
      </c>
      <c r="L196" s="42">
        <v>1.4294875965461791E-2</v>
      </c>
      <c r="M196" s="42">
        <v>1.4888270420708474E-2</v>
      </c>
      <c r="N196" s="32">
        <v>0.125</v>
      </c>
      <c r="O196" s="20">
        <f>B196*'1-Data Input'!$D$2</f>
        <v>0</v>
      </c>
      <c r="P196" s="20">
        <f>C196*'1-Data Input'!$D$3</f>
        <v>0</v>
      </c>
      <c r="Q196" s="20">
        <f>D196*'1-Data Input'!$D$4</f>
        <v>0</v>
      </c>
      <c r="R196" s="20">
        <f>E196*'1-Data Input'!$D$5</f>
        <v>0</v>
      </c>
      <c r="S196" s="20">
        <f>F196*'1-Data Input'!$D$6</f>
        <v>0</v>
      </c>
      <c r="T196" s="20">
        <f>G196*'1-Data Input'!$D$7</f>
        <v>0</v>
      </c>
      <c r="U196" s="20">
        <f>H196*'1-Data Input'!$D$8</f>
        <v>0</v>
      </c>
      <c r="V196" s="20">
        <f>I196*'1-Data Input'!$D$9</f>
        <v>0</v>
      </c>
      <c r="W196" s="20">
        <f>J196*'1-Data Input'!$D$10</f>
        <v>0</v>
      </c>
      <c r="X196" s="20">
        <f>K196*'1-Data Input'!$D$11</f>
        <v>0</v>
      </c>
      <c r="Y196" s="20">
        <f>L196*'1-Data Input'!$D$12</f>
        <v>0</v>
      </c>
      <c r="Z196" s="21">
        <f>M196*'1-Data Input'!$D$13</f>
        <v>0</v>
      </c>
    </row>
    <row r="197" spans="1:26" x14ac:dyDescent="0.25">
      <c r="A197" s="32">
        <v>0.16666666666666699</v>
      </c>
      <c r="B197" s="42">
        <v>1.478484889242962E-2</v>
      </c>
      <c r="C197" s="42">
        <v>1.3697838006993483E-2</v>
      </c>
      <c r="D197" s="42">
        <v>1.3241121087644043E-2</v>
      </c>
      <c r="E197" s="42">
        <v>1.9484823447161261E-2</v>
      </c>
      <c r="F197" s="42">
        <v>1.8269751224895783E-2</v>
      </c>
      <c r="G197" s="42">
        <v>1.5387348743948169E-2</v>
      </c>
      <c r="H197" s="42">
        <v>1.8235923325474405E-2</v>
      </c>
      <c r="I197" s="42">
        <v>1.8313599256186114E-2</v>
      </c>
      <c r="J197" s="42">
        <v>1.7576678622714767E-2</v>
      </c>
      <c r="K197" s="42">
        <v>2.1253882891074251E-2</v>
      </c>
      <c r="L197" s="42">
        <v>1.4651163511198266E-2</v>
      </c>
      <c r="M197" s="42">
        <v>1.4881515307087461E-2</v>
      </c>
      <c r="N197" s="32">
        <v>0.16666666666666699</v>
      </c>
      <c r="O197" s="20">
        <f>B197*'1-Data Input'!$D$2</f>
        <v>0</v>
      </c>
      <c r="P197" s="20">
        <f>C197*'1-Data Input'!$D$3</f>
        <v>0</v>
      </c>
      <c r="Q197" s="20">
        <f>D197*'1-Data Input'!$D$4</f>
        <v>0</v>
      </c>
      <c r="R197" s="20">
        <f>E197*'1-Data Input'!$D$5</f>
        <v>0</v>
      </c>
      <c r="S197" s="20">
        <f>F197*'1-Data Input'!$D$6</f>
        <v>0</v>
      </c>
      <c r="T197" s="20">
        <f>G197*'1-Data Input'!$D$7</f>
        <v>0</v>
      </c>
      <c r="U197" s="20">
        <f>H197*'1-Data Input'!$D$8</f>
        <v>0</v>
      </c>
      <c r="V197" s="20">
        <f>I197*'1-Data Input'!$D$9</f>
        <v>0</v>
      </c>
      <c r="W197" s="20">
        <f>J197*'1-Data Input'!$D$10</f>
        <v>0</v>
      </c>
      <c r="X197" s="20">
        <f>K197*'1-Data Input'!$D$11</f>
        <v>0</v>
      </c>
      <c r="Y197" s="20">
        <f>L197*'1-Data Input'!$D$12</f>
        <v>0</v>
      </c>
      <c r="Z197" s="21">
        <f>M197*'1-Data Input'!$D$13</f>
        <v>0</v>
      </c>
    </row>
    <row r="198" spans="1:26" x14ac:dyDescent="0.25">
      <c r="A198" s="32">
        <v>0.20833333333333301</v>
      </c>
      <c r="B198" s="42">
        <v>2.3013598474267052E-2</v>
      </c>
      <c r="C198" s="42">
        <v>2.2011102493979345E-2</v>
      </c>
      <c r="D198" s="42">
        <v>2.3649835811310235E-2</v>
      </c>
      <c r="E198" s="42">
        <v>5.3212514111213E-2</v>
      </c>
      <c r="F198" s="42">
        <v>5.4081697209979115E-2</v>
      </c>
      <c r="G198" s="42">
        <v>5.280240106093391E-2</v>
      </c>
      <c r="H198" s="42">
        <v>5.5496130371861831E-2</v>
      </c>
      <c r="I198" s="42">
        <v>5.225715110832492E-2</v>
      </c>
      <c r="J198" s="42">
        <v>5.4224005254650924E-2</v>
      </c>
      <c r="K198" s="42">
        <v>5.3241767960601684E-2</v>
      </c>
      <c r="L198" s="42">
        <v>2.1358663828758905E-2</v>
      </c>
      <c r="M198" s="42">
        <v>2.2562079494177087E-2</v>
      </c>
      <c r="N198" s="32">
        <v>0.20833333333333301</v>
      </c>
      <c r="O198" s="20">
        <f>B198*'1-Data Input'!$D$2</f>
        <v>0</v>
      </c>
      <c r="P198" s="20">
        <f>C198*'1-Data Input'!$D$3</f>
        <v>0</v>
      </c>
      <c r="Q198" s="20">
        <f>D198*'1-Data Input'!$D$4</f>
        <v>0</v>
      </c>
      <c r="R198" s="20">
        <f>E198*'1-Data Input'!$D$5</f>
        <v>0</v>
      </c>
      <c r="S198" s="20">
        <f>F198*'1-Data Input'!$D$6</f>
        <v>0</v>
      </c>
      <c r="T198" s="20">
        <f>G198*'1-Data Input'!$D$7</f>
        <v>0</v>
      </c>
      <c r="U198" s="20">
        <f>H198*'1-Data Input'!$D$8</f>
        <v>0</v>
      </c>
      <c r="V198" s="20">
        <f>I198*'1-Data Input'!$D$9</f>
        <v>0</v>
      </c>
      <c r="W198" s="20">
        <f>J198*'1-Data Input'!$D$10</f>
        <v>0</v>
      </c>
      <c r="X198" s="20">
        <f>K198*'1-Data Input'!$D$11</f>
        <v>0</v>
      </c>
      <c r="Y198" s="20">
        <f>L198*'1-Data Input'!$D$12</f>
        <v>0</v>
      </c>
      <c r="Z198" s="21">
        <f>M198*'1-Data Input'!$D$13</f>
        <v>0</v>
      </c>
    </row>
    <row r="199" spans="1:26" x14ac:dyDescent="0.25">
      <c r="A199" s="32">
        <v>0.25</v>
      </c>
      <c r="B199" s="42">
        <v>5.4197317551791802E-2</v>
      </c>
      <c r="C199" s="42">
        <v>5.4321945113405989E-2</v>
      </c>
      <c r="D199" s="42">
        <v>5.5872623505034705E-2</v>
      </c>
      <c r="E199" s="42">
        <v>6.0793980829936048E-2</v>
      </c>
      <c r="F199" s="42">
        <v>6.0169271107924388E-2</v>
      </c>
      <c r="G199" s="42">
        <v>6.1577948818822698E-2</v>
      </c>
      <c r="H199" s="42">
        <v>6.399783848605195E-2</v>
      </c>
      <c r="I199" s="42">
        <v>6.0096780328376898E-2</v>
      </c>
      <c r="J199" s="42">
        <v>6.2685538762709977E-2</v>
      </c>
      <c r="K199" s="42">
        <v>5.9736785757509028E-2</v>
      </c>
      <c r="L199" s="42">
        <v>5.2842090261577004E-2</v>
      </c>
      <c r="M199" s="42">
        <v>5.3382285390040252E-2</v>
      </c>
      <c r="N199" s="32">
        <v>0.25</v>
      </c>
      <c r="O199" s="20">
        <f>B199*'1-Data Input'!$D$2</f>
        <v>0</v>
      </c>
      <c r="P199" s="20">
        <f>C199*'1-Data Input'!$D$3</f>
        <v>0</v>
      </c>
      <c r="Q199" s="20">
        <f>D199*'1-Data Input'!$D$4</f>
        <v>0</v>
      </c>
      <c r="R199" s="20">
        <f>E199*'1-Data Input'!$D$5</f>
        <v>0</v>
      </c>
      <c r="S199" s="20">
        <f>F199*'1-Data Input'!$D$6</f>
        <v>0</v>
      </c>
      <c r="T199" s="20">
        <f>G199*'1-Data Input'!$D$7</f>
        <v>0</v>
      </c>
      <c r="U199" s="20">
        <f>H199*'1-Data Input'!$D$8</f>
        <v>0</v>
      </c>
      <c r="V199" s="20">
        <f>I199*'1-Data Input'!$D$9</f>
        <v>0</v>
      </c>
      <c r="W199" s="20">
        <f>J199*'1-Data Input'!$D$10</f>
        <v>0</v>
      </c>
      <c r="X199" s="20">
        <f>K199*'1-Data Input'!$D$11</f>
        <v>0</v>
      </c>
      <c r="Y199" s="20">
        <f>L199*'1-Data Input'!$D$12</f>
        <v>0</v>
      </c>
      <c r="Z199" s="21">
        <f>M199*'1-Data Input'!$D$13</f>
        <v>0</v>
      </c>
    </row>
    <row r="200" spans="1:26" x14ac:dyDescent="0.25">
      <c r="A200" s="32">
        <v>0.29166666666666702</v>
      </c>
      <c r="B200" s="42">
        <v>5.9408399118496061E-2</v>
      </c>
      <c r="C200" s="42">
        <v>5.9699715634651755E-2</v>
      </c>
      <c r="D200" s="42">
        <v>6.0025809734995814E-2</v>
      </c>
      <c r="E200" s="42">
        <v>6.2168027093528963E-2</v>
      </c>
      <c r="F200" s="42">
        <v>6.1986404886929983E-2</v>
      </c>
      <c r="G200" s="42">
        <v>6.2977087127293038E-2</v>
      </c>
      <c r="H200" s="42">
        <v>6.4423479075138512E-2</v>
      </c>
      <c r="I200" s="42">
        <v>5.9871382183685373E-2</v>
      </c>
      <c r="J200" s="42">
        <v>6.0888911784971418E-2</v>
      </c>
      <c r="K200" s="42">
        <v>6.0984276036704796E-2</v>
      </c>
      <c r="L200" s="42">
        <v>5.7600852611587684E-2</v>
      </c>
      <c r="M200" s="42">
        <v>5.867491691210245E-2</v>
      </c>
      <c r="N200" s="32">
        <v>0.29166666666666702</v>
      </c>
      <c r="O200" s="20">
        <f>B200*'1-Data Input'!$D$2</f>
        <v>0</v>
      </c>
      <c r="P200" s="20">
        <f>C200*'1-Data Input'!$D$3</f>
        <v>0</v>
      </c>
      <c r="Q200" s="20">
        <f>D200*'1-Data Input'!$D$4</f>
        <v>0</v>
      </c>
      <c r="R200" s="20">
        <f>E200*'1-Data Input'!$D$5</f>
        <v>0</v>
      </c>
      <c r="S200" s="20">
        <f>F200*'1-Data Input'!$D$6</f>
        <v>0</v>
      </c>
      <c r="T200" s="20">
        <f>G200*'1-Data Input'!$D$7</f>
        <v>0</v>
      </c>
      <c r="U200" s="20">
        <f>H200*'1-Data Input'!$D$8</f>
        <v>0</v>
      </c>
      <c r="V200" s="20">
        <f>I200*'1-Data Input'!$D$9</f>
        <v>0</v>
      </c>
      <c r="W200" s="20">
        <f>J200*'1-Data Input'!$D$10</f>
        <v>0</v>
      </c>
      <c r="X200" s="20">
        <f>K200*'1-Data Input'!$D$11</f>
        <v>0</v>
      </c>
      <c r="Y200" s="20">
        <f>L200*'1-Data Input'!$D$12</f>
        <v>0</v>
      </c>
      <c r="Z200" s="21">
        <f>M200*'1-Data Input'!$D$13</f>
        <v>0</v>
      </c>
    </row>
    <row r="201" spans="1:26" x14ac:dyDescent="0.25">
      <c r="A201" s="32">
        <v>0.33333333333333298</v>
      </c>
      <c r="B201" s="42">
        <v>5.8877289547832619E-2</v>
      </c>
      <c r="C201" s="42">
        <v>5.9196293726274544E-2</v>
      </c>
      <c r="D201" s="42">
        <v>6.0301477092345526E-2</v>
      </c>
      <c r="E201" s="42">
        <v>6.2615954069325769E-2</v>
      </c>
      <c r="F201" s="42">
        <v>6.128696654646168E-2</v>
      </c>
      <c r="G201" s="42">
        <v>6.3805148575163229E-2</v>
      </c>
      <c r="H201" s="42">
        <v>6.5352485926101392E-2</v>
      </c>
      <c r="I201" s="42">
        <v>5.9589634502820975E-2</v>
      </c>
      <c r="J201" s="42">
        <v>6.0434925398123493E-2</v>
      </c>
      <c r="K201" s="42">
        <v>6.1744562400891281E-2</v>
      </c>
      <c r="L201" s="42">
        <v>5.8387783364779566E-2</v>
      </c>
      <c r="M201" s="42">
        <v>6.0255613499419047E-2</v>
      </c>
      <c r="N201" s="32">
        <v>0.33333333333333298</v>
      </c>
      <c r="O201" s="20">
        <f>B201*'1-Data Input'!$D$2</f>
        <v>0</v>
      </c>
      <c r="P201" s="20">
        <f>C201*'1-Data Input'!$D$3</f>
        <v>0</v>
      </c>
      <c r="Q201" s="20">
        <f>D201*'1-Data Input'!$D$4</f>
        <v>0</v>
      </c>
      <c r="R201" s="20">
        <f>E201*'1-Data Input'!$D$5</f>
        <v>0</v>
      </c>
      <c r="S201" s="20">
        <f>F201*'1-Data Input'!$D$6</f>
        <v>0</v>
      </c>
      <c r="T201" s="20">
        <f>G201*'1-Data Input'!$D$7</f>
        <v>0</v>
      </c>
      <c r="U201" s="20">
        <f>H201*'1-Data Input'!$D$8</f>
        <v>0</v>
      </c>
      <c r="V201" s="20">
        <f>I201*'1-Data Input'!$D$9</f>
        <v>0</v>
      </c>
      <c r="W201" s="20">
        <f>J201*'1-Data Input'!$D$10</f>
        <v>0</v>
      </c>
      <c r="X201" s="20">
        <f>K201*'1-Data Input'!$D$11</f>
        <v>0</v>
      </c>
      <c r="Y201" s="20">
        <f>L201*'1-Data Input'!$D$12</f>
        <v>0</v>
      </c>
      <c r="Z201" s="21">
        <f>M201*'1-Data Input'!$D$13</f>
        <v>0</v>
      </c>
    </row>
    <row r="202" spans="1:26" x14ac:dyDescent="0.25">
      <c r="A202" s="32">
        <v>0.375</v>
      </c>
      <c r="B202" s="42">
        <v>5.8159946751092394E-2</v>
      </c>
      <c r="C202" s="42">
        <v>5.9743935126603809E-2</v>
      </c>
      <c r="D202" s="42">
        <v>6.0368121947968534E-2</v>
      </c>
      <c r="E202" s="42">
        <v>5.8306170194091594E-2</v>
      </c>
      <c r="F202" s="42">
        <v>5.9406566987916229E-2</v>
      </c>
      <c r="G202" s="42">
        <v>5.890340552167872E-2</v>
      </c>
      <c r="H202" s="42">
        <v>6.1003549472390735E-2</v>
      </c>
      <c r="I202" s="42">
        <v>5.5588817434546474E-2</v>
      </c>
      <c r="J202" s="42">
        <v>5.7482404002807609E-2</v>
      </c>
      <c r="K202" s="42">
        <v>5.6149475402408749E-2</v>
      </c>
      <c r="L202" s="42">
        <v>5.8183305295052543E-2</v>
      </c>
      <c r="M202" s="42">
        <v>5.940109162636114E-2</v>
      </c>
      <c r="N202" s="32">
        <v>0.375</v>
      </c>
      <c r="O202" s="20">
        <f>B202*'1-Data Input'!$D$2</f>
        <v>0</v>
      </c>
      <c r="P202" s="20">
        <f>C202*'1-Data Input'!$D$3</f>
        <v>0</v>
      </c>
      <c r="Q202" s="20">
        <f>D202*'1-Data Input'!$D$4</f>
        <v>0</v>
      </c>
      <c r="R202" s="20">
        <f>E202*'1-Data Input'!$D$5</f>
        <v>0</v>
      </c>
      <c r="S202" s="20">
        <f>F202*'1-Data Input'!$D$6</f>
        <v>0</v>
      </c>
      <c r="T202" s="20">
        <f>G202*'1-Data Input'!$D$7</f>
        <v>0</v>
      </c>
      <c r="U202" s="20">
        <f>H202*'1-Data Input'!$D$8</f>
        <v>0</v>
      </c>
      <c r="V202" s="20">
        <f>I202*'1-Data Input'!$D$9</f>
        <v>0</v>
      </c>
      <c r="W202" s="20">
        <f>J202*'1-Data Input'!$D$10</f>
        <v>0</v>
      </c>
      <c r="X202" s="20">
        <f>K202*'1-Data Input'!$D$11</f>
        <v>0</v>
      </c>
      <c r="Y202" s="20">
        <f>L202*'1-Data Input'!$D$12</f>
        <v>0</v>
      </c>
      <c r="Z202" s="21">
        <f>M202*'1-Data Input'!$D$13</f>
        <v>0</v>
      </c>
    </row>
    <row r="203" spans="1:26" x14ac:dyDescent="0.25">
      <c r="A203" s="32">
        <v>0.41666666666666702</v>
      </c>
      <c r="B203" s="42">
        <v>5.5097444811162959E-2</v>
      </c>
      <c r="C203" s="42">
        <v>5.7638407009809926E-2</v>
      </c>
      <c r="D203" s="42">
        <v>5.7859851927248039E-2</v>
      </c>
      <c r="E203" s="42">
        <v>6.2691617409831979E-2</v>
      </c>
      <c r="F203" s="42">
        <v>6.2640151275508399E-2</v>
      </c>
      <c r="G203" s="42">
        <v>6.4465059614078959E-2</v>
      </c>
      <c r="H203" s="42">
        <v>6.425692406201769E-2</v>
      </c>
      <c r="I203" s="42">
        <v>6.1287164280028991E-2</v>
      </c>
      <c r="J203" s="42">
        <v>6.0943647732321873E-2</v>
      </c>
      <c r="K203" s="42">
        <v>6.1005998504252985E-2</v>
      </c>
      <c r="L203" s="42">
        <v>5.4741257787981001E-2</v>
      </c>
      <c r="M203" s="42">
        <v>5.649301521251586E-2</v>
      </c>
      <c r="N203" s="32">
        <v>0.41666666666666702</v>
      </c>
      <c r="O203" s="20">
        <f>B203*'1-Data Input'!$D$2</f>
        <v>0</v>
      </c>
      <c r="P203" s="20">
        <f>C203*'1-Data Input'!$D$3</f>
        <v>0</v>
      </c>
      <c r="Q203" s="20">
        <f>D203*'1-Data Input'!$D$4</f>
        <v>0</v>
      </c>
      <c r="R203" s="20">
        <f>E203*'1-Data Input'!$D$5</f>
        <v>0</v>
      </c>
      <c r="S203" s="20">
        <f>F203*'1-Data Input'!$D$6</f>
        <v>0</v>
      </c>
      <c r="T203" s="20">
        <f>G203*'1-Data Input'!$D$7</f>
        <v>0</v>
      </c>
      <c r="U203" s="20">
        <f>H203*'1-Data Input'!$D$8</f>
        <v>0</v>
      </c>
      <c r="V203" s="20">
        <f>I203*'1-Data Input'!$D$9</f>
        <v>0</v>
      </c>
      <c r="W203" s="20">
        <f>J203*'1-Data Input'!$D$10</f>
        <v>0</v>
      </c>
      <c r="X203" s="20">
        <f>K203*'1-Data Input'!$D$11</f>
        <v>0</v>
      </c>
      <c r="Y203" s="20">
        <f>L203*'1-Data Input'!$D$12</f>
        <v>0</v>
      </c>
      <c r="Z203" s="21">
        <f>M203*'1-Data Input'!$D$13</f>
        <v>0</v>
      </c>
    </row>
    <row r="204" spans="1:26" x14ac:dyDescent="0.25">
      <c r="A204" s="32">
        <v>0.45833333333333298</v>
      </c>
      <c r="B204" s="42">
        <v>5.7018406050510589E-2</v>
      </c>
      <c r="C204" s="42">
        <v>6.0692953453882474E-2</v>
      </c>
      <c r="D204" s="42">
        <v>5.9837992414603691E-2</v>
      </c>
      <c r="E204" s="42">
        <v>6.1033076985935686E-2</v>
      </c>
      <c r="F204" s="42">
        <v>5.9142959573166863E-2</v>
      </c>
      <c r="G204" s="42">
        <v>6.3230899065337548E-2</v>
      </c>
      <c r="H204" s="42">
        <v>6.2291574907191838E-2</v>
      </c>
      <c r="I204" s="42">
        <v>6.100189475315379E-2</v>
      </c>
      <c r="J204" s="42">
        <v>5.8712352937388496E-2</v>
      </c>
      <c r="K204" s="42">
        <v>6.0729812845426057E-2</v>
      </c>
      <c r="L204" s="42">
        <v>5.9664222224287633E-2</v>
      </c>
      <c r="M204" s="42">
        <v>6.0134021454240849E-2</v>
      </c>
      <c r="N204" s="32">
        <v>0.45833333333333298</v>
      </c>
      <c r="O204" s="20">
        <f>B204*'1-Data Input'!$D$2</f>
        <v>0</v>
      </c>
      <c r="P204" s="20">
        <f>C204*'1-Data Input'!$D$3</f>
        <v>0</v>
      </c>
      <c r="Q204" s="20">
        <f>D204*'1-Data Input'!$D$4</f>
        <v>0</v>
      </c>
      <c r="R204" s="20">
        <f>E204*'1-Data Input'!$D$5</f>
        <v>0</v>
      </c>
      <c r="S204" s="20">
        <f>F204*'1-Data Input'!$D$6</f>
        <v>0</v>
      </c>
      <c r="T204" s="20">
        <f>G204*'1-Data Input'!$D$7</f>
        <v>0</v>
      </c>
      <c r="U204" s="20">
        <f>H204*'1-Data Input'!$D$8</f>
        <v>0</v>
      </c>
      <c r="V204" s="20">
        <f>I204*'1-Data Input'!$D$9</f>
        <v>0</v>
      </c>
      <c r="W204" s="20">
        <f>J204*'1-Data Input'!$D$10</f>
        <v>0</v>
      </c>
      <c r="X204" s="20">
        <f>K204*'1-Data Input'!$D$11</f>
        <v>0</v>
      </c>
      <c r="Y204" s="20">
        <f>L204*'1-Data Input'!$D$12</f>
        <v>0</v>
      </c>
      <c r="Z204" s="21">
        <f>M204*'1-Data Input'!$D$13</f>
        <v>0</v>
      </c>
    </row>
    <row r="205" spans="1:26" x14ac:dyDescent="0.25">
      <c r="A205" s="32">
        <v>0.5</v>
      </c>
      <c r="B205" s="42">
        <v>5.7966815998123866E-2</v>
      </c>
      <c r="C205" s="42">
        <v>5.8879954283848325E-2</v>
      </c>
      <c r="D205" s="42">
        <v>5.9507797448107878E-2</v>
      </c>
      <c r="E205" s="42">
        <v>5.9513757108570833E-2</v>
      </c>
      <c r="F205" s="42">
        <v>5.8584111853898217E-2</v>
      </c>
      <c r="G205" s="42">
        <v>5.951889947143664E-2</v>
      </c>
      <c r="H205" s="42">
        <v>5.6351112772548777E-2</v>
      </c>
      <c r="I205" s="42">
        <v>5.9959428333955497E-2</v>
      </c>
      <c r="J205" s="42">
        <v>5.7112131417789799E-2</v>
      </c>
      <c r="K205" s="42">
        <v>5.7058715829782773E-2</v>
      </c>
      <c r="L205" s="42">
        <v>5.9153027049970081E-2</v>
      </c>
      <c r="M205" s="42">
        <v>5.716514901780647E-2</v>
      </c>
      <c r="N205" s="32">
        <v>0.5</v>
      </c>
      <c r="O205" s="20">
        <f>B205*'1-Data Input'!$D$2</f>
        <v>0</v>
      </c>
      <c r="P205" s="20">
        <f>C205*'1-Data Input'!$D$3</f>
        <v>0</v>
      </c>
      <c r="Q205" s="20">
        <f>D205*'1-Data Input'!$D$4</f>
        <v>0</v>
      </c>
      <c r="R205" s="20">
        <f>E205*'1-Data Input'!$D$5</f>
        <v>0</v>
      </c>
      <c r="S205" s="20">
        <f>F205*'1-Data Input'!$D$6</f>
        <v>0</v>
      </c>
      <c r="T205" s="20">
        <f>G205*'1-Data Input'!$D$7</f>
        <v>0</v>
      </c>
      <c r="U205" s="20">
        <f>H205*'1-Data Input'!$D$8</f>
        <v>0</v>
      </c>
      <c r="V205" s="20">
        <f>I205*'1-Data Input'!$D$9</f>
        <v>0</v>
      </c>
      <c r="W205" s="20">
        <f>J205*'1-Data Input'!$D$10</f>
        <v>0</v>
      </c>
      <c r="X205" s="20">
        <f>K205*'1-Data Input'!$D$11</f>
        <v>0</v>
      </c>
      <c r="Y205" s="20">
        <f>L205*'1-Data Input'!$D$12</f>
        <v>0</v>
      </c>
      <c r="Z205" s="21">
        <f>M205*'1-Data Input'!$D$13</f>
        <v>0</v>
      </c>
    </row>
    <row r="206" spans="1:26" x14ac:dyDescent="0.25">
      <c r="A206" s="32">
        <v>0.54166666666666696</v>
      </c>
      <c r="B206" s="42">
        <v>5.8270307181360115E-2</v>
      </c>
      <c r="C206" s="42">
        <v>5.6954705634243576E-2</v>
      </c>
      <c r="D206" s="42">
        <v>5.6481515140499462E-2</v>
      </c>
      <c r="E206" s="42">
        <v>5.8251692588927123E-2</v>
      </c>
      <c r="F206" s="42">
        <v>5.7663243285040439E-2</v>
      </c>
      <c r="G206" s="42">
        <v>5.710134076156273E-2</v>
      </c>
      <c r="H206" s="42">
        <v>5.7898223783315633E-2</v>
      </c>
      <c r="I206" s="42">
        <v>6.147734396461247E-2</v>
      </c>
      <c r="J206" s="42">
        <v>5.7311756637538534E-2</v>
      </c>
      <c r="K206" s="42">
        <v>5.5007494251304155E-2</v>
      </c>
      <c r="L206" s="42">
        <v>5.7383981931574186E-2</v>
      </c>
      <c r="M206" s="42">
        <v>5.4726553000621458E-2</v>
      </c>
      <c r="N206" s="32">
        <v>0.54166666666666696</v>
      </c>
      <c r="O206" s="20">
        <f>B206*'1-Data Input'!$D$2</f>
        <v>0</v>
      </c>
      <c r="P206" s="20">
        <f>C206*'1-Data Input'!$D$3</f>
        <v>0</v>
      </c>
      <c r="Q206" s="20">
        <f>D206*'1-Data Input'!$D$4</f>
        <v>0</v>
      </c>
      <c r="R206" s="20">
        <f>E206*'1-Data Input'!$D$5</f>
        <v>0</v>
      </c>
      <c r="S206" s="20">
        <f>F206*'1-Data Input'!$D$6</f>
        <v>0</v>
      </c>
      <c r="T206" s="20">
        <f>G206*'1-Data Input'!$D$7</f>
        <v>0</v>
      </c>
      <c r="U206" s="20">
        <f>H206*'1-Data Input'!$D$8</f>
        <v>0</v>
      </c>
      <c r="V206" s="20">
        <f>I206*'1-Data Input'!$D$9</f>
        <v>0</v>
      </c>
      <c r="W206" s="20">
        <f>J206*'1-Data Input'!$D$10</f>
        <v>0</v>
      </c>
      <c r="X206" s="20">
        <f>K206*'1-Data Input'!$D$11</f>
        <v>0</v>
      </c>
      <c r="Y206" s="20">
        <f>L206*'1-Data Input'!$D$12</f>
        <v>0</v>
      </c>
      <c r="Z206" s="21">
        <f>M206*'1-Data Input'!$D$13</f>
        <v>0</v>
      </c>
    </row>
    <row r="207" spans="1:26" x14ac:dyDescent="0.25">
      <c r="A207" s="32">
        <v>0.58333333333333304</v>
      </c>
      <c r="B207" s="42">
        <v>5.794957218089454E-2</v>
      </c>
      <c r="C207" s="42">
        <v>5.7580581520334163E-2</v>
      </c>
      <c r="D207" s="42">
        <v>5.7054055036533484E-2</v>
      </c>
      <c r="E207" s="42">
        <v>5.7464793847662447E-2</v>
      </c>
      <c r="F207" s="42">
        <v>5.8974250827727275E-2</v>
      </c>
      <c r="G207" s="42">
        <v>5.7107686060013832E-2</v>
      </c>
      <c r="H207" s="42">
        <v>5.8520029165633411E-2</v>
      </c>
      <c r="I207" s="42">
        <v>6.1304773510083024E-2</v>
      </c>
      <c r="J207" s="42">
        <v>5.8435453439027348E-2</v>
      </c>
      <c r="K207" s="42">
        <v>5.5981902081322747E-2</v>
      </c>
      <c r="L207" s="42">
        <v>5.5611838660606656E-2</v>
      </c>
      <c r="M207" s="42">
        <v>5.7793374584560499E-2</v>
      </c>
      <c r="N207" s="32">
        <v>0.58333333333333304</v>
      </c>
      <c r="O207" s="20">
        <f>B207*'1-Data Input'!$D$2</f>
        <v>0</v>
      </c>
      <c r="P207" s="20">
        <f>C207*'1-Data Input'!$D$3</f>
        <v>0</v>
      </c>
      <c r="Q207" s="20">
        <f>D207*'1-Data Input'!$D$4</f>
        <v>0</v>
      </c>
      <c r="R207" s="20">
        <f>E207*'1-Data Input'!$D$5</f>
        <v>0</v>
      </c>
      <c r="S207" s="20">
        <f>F207*'1-Data Input'!$D$6</f>
        <v>0</v>
      </c>
      <c r="T207" s="20">
        <f>G207*'1-Data Input'!$D$7</f>
        <v>0</v>
      </c>
      <c r="U207" s="20">
        <f>H207*'1-Data Input'!$D$8</f>
        <v>0</v>
      </c>
      <c r="V207" s="20">
        <f>I207*'1-Data Input'!$D$9</f>
        <v>0</v>
      </c>
      <c r="W207" s="20">
        <f>J207*'1-Data Input'!$D$10</f>
        <v>0</v>
      </c>
      <c r="X207" s="20">
        <f>K207*'1-Data Input'!$D$11</f>
        <v>0</v>
      </c>
      <c r="Y207" s="20">
        <f>L207*'1-Data Input'!$D$12</f>
        <v>0</v>
      </c>
      <c r="Z207" s="21">
        <f>M207*'1-Data Input'!$D$13</f>
        <v>0</v>
      </c>
    </row>
    <row r="208" spans="1:26" x14ac:dyDescent="0.25">
      <c r="A208" s="32">
        <v>0.625</v>
      </c>
      <c r="B208" s="42">
        <v>5.794957218089454E-2</v>
      </c>
      <c r="C208" s="42">
        <v>5.7580581520334163E-2</v>
      </c>
      <c r="D208" s="42">
        <v>5.7054055036533484E-2</v>
      </c>
      <c r="E208" s="42">
        <v>5.7464793847662447E-2</v>
      </c>
      <c r="F208" s="42">
        <v>5.8974250827727275E-2</v>
      </c>
      <c r="G208" s="42">
        <v>5.7107686060013832E-2</v>
      </c>
      <c r="H208" s="42">
        <v>5.8520029165633411E-2</v>
      </c>
      <c r="I208" s="42">
        <v>6.1304773510083024E-2</v>
      </c>
      <c r="J208" s="42">
        <v>5.8435453439027348E-2</v>
      </c>
      <c r="K208" s="42">
        <v>5.5981902081322747E-2</v>
      </c>
      <c r="L208" s="42">
        <v>5.5611838660606656E-2</v>
      </c>
      <c r="M208" s="42">
        <v>5.7793374584560499E-2</v>
      </c>
      <c r="N208" s="32">
        <v>0.625</v>
      </c>
      <c r="O208" s="20">
        <f>B208*'1-Data Input'!$D$2</f>
        <v>0</v>
      </c>
      <c r="P208" s="20">
        <f>C208*'1-Data Input'!$D$3</f>
        <v>0</v>
      </c>
      <c r="Q208" s="20">
        <f>D208*'1-Data Input'!$D$4</f>
        <v>0</v>
      </c>
      <c r="R208" s="20">
        <f>E208*'1-Data Input'!$D$5</f>
        <v>0</v>
      </c>
      <c r="S208" s="20">
        <f>F208*'1-Data Input'!$D$6</f>
        <v>0</v>
      </c>
      <c r="T208" s="20">
        <f>G208*'1-Data Input'!$D$7</f>
        <v>0</v>
      </c>
      <c r="U208" s="20">
        <f>H208*'1-Data Input'!$D$8</f>
        <v>0</v>
      </c>
      <c r="V208" s="20">
        <f>I208*'1-Data Input'!$D$9</f>
        <v>0</v>
      </c>
      <c r="W208" s="20">
        <f>J208*'1-Data Input'!$D$10</f>
        <v>0</v>
      </c>
      <c r="X208" s="20">
        <f>K208*'1-Data Input'!$D$11</f>
        <v>0</v>
      </c>
      <c r="Y208" s="20">
        <f>L208*'1-Data Input'!$D$12</f>
        <v>0</v>
      </c>
      <c r="Z208" s="21">
        <f>M208*'1-Data Input'!$D$13</f>
        <v>0</v>
      </c>
    </row>
    <row r="209" spans="1:26" x14ac:dyDescent="0.25">
      <c r="A209" s="32">
        <v>0.66666666666666696</v>
      </c>
      <c r="B209" s="42">
        <v>5.7456399008135629E-2</v>
      </c>
      <c r="C209" s="42">
        <v>5.7529559029620259E-2</v>
      </c>
      <c r="D209" s="42">
        <v>5.7826529499436535E-2</v>
      </c>
      <c r="E209" s="42">
        <v>5.6314711071967935E-2</v>
      </c>
      <c r="F209" s="42">
        <v>5.7912791637669839E-2</v>
      </c>
      <c r="G209" s="42">
        <v>5.6799939085134879E-2</v>
      </c>
      <c r="H209" s="42">
        <v>5.6151246756803774E-2</v>
      </c>
      <c r="I209" s="42">
        <v>6.1248423973910136E-2</v>
      </c>
      <c r="J209" s="42">
        <v>5.7411569247412905E-2</v>
      </c>
      <c r="K209" s="42">
        <v>5.5767780615490634E-2</v>
      </c>
      <c r="L209" s="42">
        <v>5.5264845572585049E-2</v>
      </c>
      <c r="M209" s="42">
        <v>5.3807857548163952E-2</v>
      </c>
      <c r="N209" s="32">
        <v>0.66666666666666696</v>
      </c>
      <c r="O209" s="20">
        <f>B209*'1-Data Input'!$D$2</f>
        <v>0</v>
      </c>
      <c r="P209" s="20">
        <f>C209*'1-Data Input'!$D$3</f>
        <v>0</v>
      </c>
      <c r="Q209" s="20">
        <f>D209*'1-Data Input'!$D$4</f>
        <v>0</v>
      </c>
      <c r="R209" s="20">
        <f>E209*'1-Data Input'!$D$5</f>
        <v>0</v>
      </c>
      <c r="S209" s="20">
        <f>F209*'1-Data Input'!$D$6</f>
        <v>0</v>
      </c>
      <c r="T209" s="20">
        <f>G209*'1-Data Input'!$D$7</f>
        <v>0</v>
      </c>
      <c r="U209" s="20">
        <f>H209*'1-Data Input'!$D$8</f>
        <v>0</v>
      </c>
      <c r="V209" s="20">
        <f>I209*'1-Data Input'!$D$9</f>
        <v>0</v>
      </c>
      <c r="W209" s="20">
        <f>J209*'1-Data Input'!$D$10</f>
        <v>0</v>
      </c>
      <c r="X209" s="20">
        <f>K209*'1-Data Input'!$D$11</f>
        <v>0</v>
      </c>
      <c r="Y209" s="20">
        <f>L209*'1-Data Input'!$D$12</f>
        <v>0</v>
      </c>
      <c r="Z209" s="21">
        <f>M209*'1-Data Input'!$D$13</f>
        <v>0</v>
      </c>
    </row>
    <row r="210" spans="1:26" x14ac:dyDescent="0.25">
      <c r="A210" s="32">
        <v>0.70833333333333304</v>
      </c>
      <c r="B210" s="42">
        <v>5.621139540417782E-2</v>
      </c>
      <c r="C210" s="42">
        <v>5.5587302883110874E-2</v>
      </c>
      <c r="D210" s="42">
        <v>5.5493959552631242E-2</v>
      </c>
      <c r="E210" s="42">
        <v>5.1820308645898587E-2</v>
      </c>
      <c r="F210" s="42">
        <v>5.3424436055870703E-2</v>
      </c>
      <c r="G210" s="42">
        <v>5.1247802940411299E-2</v>
      </c>
      <c r="H210" s="42">
        <v>5.194665798113117E-2</v>
      </c>
      <c r="I210" s="42">
        <v>5.5870565115410872E-2</v>
      </c>
      <c r="J210" s="42">
        <v>5.1673954060441347E-2</v>
      </c>
      <c r="K210" s="42">
        <v>5.0060978069617429E-2</v>
      </c>
      <c r="L210" s="42">
        <v>5.3189083349598612E-2</v>
      </c>
      <c r="M210" s="42">
        <v>5.5239941635818302E-2</v>
      </c>
      <c r="N210" s="32">
        <v>0.70833333333333304</v>
      </c>
      <c r="O210" s="20">
        <f>B210*'1-Data Input'!$D$2</f>
        <v>0</v>
      </c>
      <c r="P210" s="20">
        <f>C210*'1-Data Input'!$D$3</f>
        <v>0</v>
      </c>
      <c r="Q210" s="20">
        <f>D210*'1-Data Input'!$D$4</f>
        <v>0</v>
      </c>
      <c r="R210" s="20">
        <f>E210*'1-Data Input'!$D$5</f>
        <v>0</v>
      </c>
      <c r="S210" s="20">
        <f>F210*'1-Data Input'!$D$6</f>
        <v>0</v>
      </c>
      <c r="T210" s="20">
        <f>G210*'1-Data Input'!$D$7</f>
        <v>0</v>
      </c>
      <c r="U210" s="20">
        <f>H210*'1-Data Input'!$D$8</f>
        <v>0</v>
      </c>
      <c r="V210" s="20">
        <f>I210*'1-Data Input'!$D$9</f>
        <v>0</v>
      </c>
      <c r="W210" s="20">
        <f>J210*'1-Data Input'!$D$10</f>
        <v>0</v>
      </c>
      <c r="X210" s="20">
        <f>K210*'1-Data Input'!$D$11</f>
        <v>0</v>
      </c>
      <c r="Y210" s="20">
        <f>L210*'1-Data Input'!$D$12</f>
        <v>0</v>
      </c>
      <c r="Z210" s="21">
        <f>M210*'1-Data Input'!$D$13</f>
        <v>0</v>
      </c>
    </row>
    <row r="211" spans="1:26" x14ac:dyDescent="0.25">
      <c r="A211" s="32">
        <v>0.75</v>
      </c>
      <c r="B211" s="42">
        <v>5.3483423518497435E-2</v>
      </c>
      <c r="C211" s="42">
        <v>5.3022572349891828E-2</v>
      </c>
      <c r="D211" s="42">
        <v>5.2467677245022826E-2</v>
      </c>
      <c r="E211" s="42">
        <v>5.3784528965440011E-2</v>
      </c>
      <c r="F211" s="42">
        <v>5.4661633522427713E-2</v>
      </c>
      <c r="G211" s="42">
        <v>5.5070845257206673E-2</v>
      </c>
      <c r="H211" s="42">
        <v>5.4652251638716273E-2</v>
      </c>
      <c r="I211" s="42">
        <v>5.4933754076536737E-2</v>
      </c>
      <c r="J211" s="42">
        <v>5.5534448229453075E-2</v>
      </c>
      <c r="K211" s="42">
        <v>5.1904284601563419E-2</v>
      </c>
      <c r="L211" s="42">
        <v>5.119387309347434E-2</v>
      </c>
      <c r="M211" s="42">
        <v>5.1598935394093312E-2</v>
      </c>
      <c r="N211" s="32">
        <v>0.75</v>
      </c>
      <c r="O211" s="20">
        <f>B211*'1-Data Input'!$D$2</f>
        <v>0</v>
      </c>
      <c r="P211" s="20">
        <f>C211*'1-Data Input'!$D$3</f>
        <v>0</v>
      </c>
      <c r="Q211" s="20">
        <f>D211*'1-Data Input'!$D$4</f>
        <v>0</v>
      </c>
      <c r="R211" s="20">
        <f>E211*'1-Data Input'!$D$5</f>
        <v>0</v>
      </c>
      <c r="S211" s="20">
        <f>F211*'1-Data Input'!$D$6</f>
        <v>0</v>
      </c>
      <c r="T211" s="20">
        <f>G211*'1-Data Input'!$D$7</f>
        <v>0</v>
      </c>
      <c r="U211" s="20">
        <f>H211*'1-Data Input'!$D$8</f>
        <v>0</v>
      </c>
      <c r="V211" s="20">
        <f>I211*'1-Data Input'!$D$9</f>
        <v>0</v>
      </c>
      <c r="W211" s="20">
        <f>J211*'1-Data Input'!$D$10</f>
        <v>0</v>
      </c>
      <c r="X211" s="20">
        <f>K211*'1-Data Input'!$D$11</f>
        <v>0</v>
      </c>
      <c r="Y211" s="20">
        <f>L211*'1-Data Input'!$D$12</f>
        <v>0</v>
      </c>
      <c r="Z211" s="21">
        <f>M211*'1-Data Input'!$D$13</f>
        <v>0</v>
      </c>
    </row>
    <row r="212" spans="1:26" x14ac:dyDescent="0.25">
      <c r="A212" s="32">
        <v>0.79166666666666696</v>
      </c>
      <c r="B212" s="42">
        <v>5.5031918305691492E-2</v>
      </c>
      <c r="C212" s="42">
        <v>5.4770943031688363E-2</v>
      </c>
      <c r="D212" s="42">
        <v>5.5763568286742511E-2</v>
      </c>
      <c r="E212" s="42">
        <v>4.8769562756687881E-2</v>
      </c>
      <c r="F212" s="42">
        <v>5.0640741756117436E-2</v>
      </c>
      <c r="G212" s="42">
        <v>5.1669765287410296E-2</v>
      </c>
      <c r="H212" s="42">
        <v>5.1184206143289127E-2</v>
      </c>
      <c r="I212" s="42">
        <v>5.1517563446055861E-2</v>
      </c>
      <c r="J212" s="42">
        <v>5.4442949044052759E-2</v>
      </c>
      <c r="K212" s="42">
        <v>4.8869345564116998E-2</v>
      </c>
      <c r="L212" s="42">
        <v>5.3037273873589169E-2</v>
      </c>
      <c r="M212" s="42">
        <v>5.1453700451241577E-2</v>
      </c>
      <c r="N212" s="32">
        <v>0.79166666666666696</v>
      </c>
      <c r="O212" s="20">
        <f>B212*'1-Data Input'!$D$2</f>
        <v>0</v>
      </c>
      <c r="P212" s="20">
        <f>C212*'1-Data Input'!$D$3</f>
        <v>0</v>
      </c>
      <c r="Q212" s="20">
        <f>D212*'1-Data Input'!$D$4</f>
        <v>0</v>
      </c>
      <c r="R212" s="20">
        <f>E212*'1-Data Input'!$D$5</f>
        <v>0</v>
      </c>
      <c r="S212" s="20">
        <f>F212*'1-Data Input'!$D$6</f>
        <v>0</v>
      </c>
      <c r="T212" s="20">
        <f>G212*'1-Data Input'!$D$7</f>
        <v>0</v>
      </c>
      <c r="U212" s="20">
        <f>H212*'1-Data Input'!$D$8</f>
        <v>0</v>
      </c>
      <c r="V212" s="20">
        <f>I212*'1-Data Input'!$D$9</f>
        <v>0</v>
      </c>
      <c r="W212" s="20">
        <f>J212*'1-Data Input'!$D$10</f>
        <v>0</v>
      </c>
      <c r="X212" s="20">
        <f>K212*'1-Data Input'!$D$11</f>
        <v>0</v>
      </c>
      <c r="Y212" s="20">
        <f>L212*'1-Data Input'!$D$12</f>
        <v>0</v>
      </c>
      <c r="Z212" s="21">
        <f>M212*'1-Data Input'!$D$13</f>
        <v>0</v>
      </c>
    </row>
    <row r="213" spans="1:26" x14ac:dyDescent="0.25">
      <c r="A213" s="32">
        <v>0.83333333333333304</v>
      </c>
      <c r="B213" s="42">
        <v>4.8562038081245963E-2</v>
      </c>
      <c r="C213" s="42">
        <v>5.2440915955753301E-2</v>
      </c>
      <c r="D213" s="42">
        <v>5.3467350079367953E-2</v>
      </c>
      <c r="E213" s="42">
        <v>3.9314671727030875E-2</v>
      </c>
      <c r="F213" s="42">
        <v>4.0824001630851203E-2</v>
      </c>
      <c r="G213" s="42">
        <v>4.1488733922600052E-2</v>
      </c>
      <c r="H213" s="42">
        <v>3.652366376614196E-2</v>
      </c>
      <c r="I213" s="42">
        <v>3.9166449486162651E-2</v>
      </c>
      <c r="J213" s="42">
        <v>4.3846713589325834E-2</v>
      </c>
      <c r="K213" s="42">
        <v>3.8575999155926993E-2</v>
      </c>
      <c r="L213" s="42">
        <v>5.0611420410009489E-2</v>
      </c>
      <c r="M213" s="42">
        <v>4.8160582560998665E-2</v>
      </c>
      <c r="N213" s="32">
        <v>0.83333333333333304</v>
      </c>
      <c r="O213" s="20">
        <f>B213*'1-Data Input'!$D$2</f>
        <v>0</v>
      </c>
      <c r="P213" s="20">
        <f>C213*'1-Data Input'!$D$3</f>
        <v>0</v>
      </c>
      <c r="Q213" s="20">
        <f>D213*'1-Data Input'!$D$4</f>
        <v>0</v>
      </c>
      <c r="R213" s="20">
        <f>E213*'1-Data Input'!$D$5</f>
        <v>0</v>
      </c>
      <c r="S213" s="20">
        <f>F213*'1-Data Input'!$D$6</f>
        <v>0</v>
      </c>
      <c r="T213" s="20">
        <f>G213*'1-Data Input'!$D$7</f>
        <v>0</v>
      </c>
      <c r="U213" s="20">
        <f>H213*'1-Data Input'!$D$8</f>
        <v>0</v>
      </c>
      <c r="V213" s="20">
        <f>I213*'1-Data Input'!$D$9</f>
        <v>0</v>
      </c>
      <c r="W213" s="20">
        <f>J213*'1-Data Input'!$D$10</f>
        <v>0</v>
      </c>
      <c r="X213" s="20">
        <f>K213*'1-Data Input'!$D$11</f>
        <v>0</v>
      </c>
      <c r="Y213" s="20">
        <f>L213*'1-Data Input'!$D$12</f>
        <v>0</v>
      </c>
      <c r="Z213" s="21">
        <f>M213*'1-Data Input'!$D$13</f>
        <v>0</v>
      </c>
    </row>
    <row r="214" spans="1:26" x14ac:dyDescent="0.25">
      <c r="A214" s="32">
        <v>0.875</v>
      </c>
      <c r="B214" s="42">
        <v>3.648791725726741E-2</v>
      </c>
      <c r="C214" s="42">
        <v>3.816142155462128E-2</v>
      </c>
      <c r="D214" s="42">
        <v>3.8647957638106308E-2</v>
      </c>
      <c r="E214" s="42">
        <v>1.6975827075975072E-2</v>
      </c>
      <c r="F214" s="42">
        <v>1.6171436203490864E-2</v>
      </c>
      <c r="G214" s="42">
        <v>2.1383655780249623E-2</v>
      </c>
      <c r="H214" s="42">
        <v>1.0670624507274754E-2</v>
      </c>
      <c r="I214" s="42">
        <v>1.0164047587183294E-2</v>
      </c>
      <c r="J214" s="42">
        <v>1.7483305536058105E-2</v>
      </c>
      <c r="K214" s="42">
        <v>1.8737179865134519E-2</v>
      </c>
      <c r="L214" s="42">
        <v>4.1443986950581352E-2</v>
      </c>
      <c r="M214" s="42">
        <v>3.7004512415898826E-2</v>
      </c>
      <c r="N214" s="32">
        <v>0.875</v>
      </c>
      <c r="O214" s="20">
        <f>B214*'1-Data Input'!$D$2</f>
        <v>0</v>
      </c>
      <c r="P214" s="20">
        <f>C214*'1-Data Input'!$D$3</f>
        <v>0</v>
      </c>
      <c r="Q214" s="20">
        <f>D214*'1-Data Input'!$D$4</f>
        <v>0</v>
      </c>
      <c r="R214" s="20">
        <f>E214*'1-Data Input'!$D$5</f>
        <v>0</v>
      </c>
      <c r="S214" s="20">
        <f>F214*'1-Data Input'!$D$6</f>
        <v>0</v>
      </c>
      <c r="T214" s="20">
        <f>G214*'1-Data Input'!$D$7</f>
        <v>0</v>
      </c>
      <c r="U214" s="20">
        <f>H214*'1-Data Input'!$D$8</f>
        <v>0</v>
      </c>
      <c r="V214" s="20">
        <f>I214*'1-Data Input'!$D$9</f>
        <v>0</v>
      </c>
      <c r="W214" s="20">
        <f>J214*'1-Data Input'!$D$10</f>
        <v>0</v>
      </c>
      <c r="X214" s="20">
        <f>K214*'1-Data Input'!$D$11</f>
        <v>0</v>
      </c>
      <c r="Y214" s="20">
        <f>L214*'1-Data Input'!$D$12</f>
        <v>0</v>
      </c>
      <c r="Z214" s="21">
        <f>M214*'1-Data Input'!$D$13</f>
        <v>0</v>
      </c>
    </row>
    <row r="215" spans="1:26" x14ac:dyDescent="0.25">
      <c r="A215" s="32">
        <v>0.91666666666666696</v>
      </c>
      <c r="B215" s="42">
        <v>1.3501908890567287E-2</v>
      </c>
      <c r="C215" s="42">
        <v>1.2119542294243304E-2</v>
      </c>
      <c r="D215" s="42">
        <v>1.2877603693336724E-2</v>
      </c>
      <c r="E215" s="42">
        <v>9.6546422485934164E-3</v>
      </c>
      <c r="F215" s="42">
        <v>9.9046092635160284E-3</v>
      </c>
      <c r="G215" s="42">
        <v>8.4741460814609405E-3</v>
      </c>
      <c r="H215" s="42">
        <v>9.3233795122528978E-3</v>
      </c>
      <c r="I215" s="42">
        <v>9.3927633108169956E-3</v>
      </c>
      <c r="J215" s="42">
        <v>1.0081073597310851E-2</v>
      </c>
      <c r="K215" s="42">
        <v>1.32879437201898E-2</v>
      </c>
      <c r="L215" s="42">
        <v>2.2387250482537258E-2</v>
      </c>
      <c r="M215" s="42">
        <v>1.9312869842470742E-2</v>
      </c>
      <c r="N215" s="32">
        <v>0.91666666666666696</v>
      </c>
      <c r="O215" s="20">
        <f>B215*'1-Data Input'!$D$2</f>
        <v>0</v>
      </c>
      <c r="P215" s="20">
        <f>C215*'1-Data Input'!$D$3</f>
        <v>0</v>
      </c>
      <c r="Q215" s="20">
        <f>D215*'1-Data Input'!$D$4</f>
        <v>0</v>
      </c>
      <c r="R215" s="20">
        <f>E215*'1-Data Input'!$D$5</f>
        <v>0</v>
      </c>
      <c r="S215" s="20">
        <f>F215*'1-Data Input'!$D$6</f>
        <v>0</v>
      </c>
      <c r="T215" s="20">
        <f>G215*'1-Data Input'!$D$7</f>
        <v>0</v>
      </c>
      <c r="U215" s="20">
        <f>H215*'1-Data Input'!$D$8</f>
        <v>0</v>
      </c>
      <c r="V215" s="20">
        <f>I215*'1-Data Input'!$D$9</f>
        <v>0</v>
      </c>
      <c r="W215" s="20">
        <f>J215*'1-Data Input'!$D$10</f>
        <v>0</v>
      </c>
      <c r="X215" s="20">
        <f>K215*'1-Data Input'!$D$11</f>
        <v>0</v>
      </c>
      <c r="Y215" s="20">
        <f>L215*'1-Data Input'!$D$12</f>
        <v>0</v>
      </c>
      <c r="Z215" s="21">
        <f>M215*'1-Data Input'!$D$13</f>
        <v>0</v>
      </c>
    </row>
    <row r="216" spans="1:26" x14ac:dyDescent="0.25">
      <c r="A216" s="32">
        <v>0.95833333333333304</v>
      </c>
      <c r="B216" s="43">
        <v>1.2846643835852654E-2</v>
      </c>
      <c r="C216" s="43">
        <v>1.1153516470060002E-2</v>
      </c>
      <c r="D216" s="43">
        <v>1.0154252547651069E-2</v>
      </c>
      <c r="E216" s="43">
        <v>9.0311763228221806E-3</v>
      </c>
      <c r="F216" s="43">
        <v>9.1875970953977631E-3</v>
      </c>
      <c r="G216" s="43">
        <v>7.6429119843651853E-3</v>
      </c>
      <c r="H216" s="43">
        <v>8.4461897764831727E-3</v>
      </c>
      <c r="I216" s="43">
        <v>8.6073916504074734E-3</v>
      </c>
      <c r="J216" s="43">
        <v>9.2857924799247833E-3</v>
      </c>
      <c r="K216" s="43">
        <v>1.2474902791957728E-2</v>
      </c>
      <c r="L216" s="43">
        <v>1.3594693484275323E-2</v>
      </c>
      <c r="M216" s="43">
        <v>1.429719797887E-2</v>
      </c>
      <c r="N216" s="32">
        <v>0.95833333333333304</v>
      </c>
      <c r="O216" s="26">
        <f>B216*'1-Data Input'!$D$2</f>
        <v>0</v>
      </c>
      <c r="P216" s="26">
        <f>C216*'1-Data Input'!$D$3</f>
        <v>0</v>
      </c>
      <c r="Q216" s="26">
        <f>D216*'1-Data Input'!$D$4</f>
        <v>0</v>
      </c>
      <c r="R216" s="26">
        <f>E216*'1-Data Input'!$D$5</f>
        <v>0</v>
      </c>
      <c r="S216" s="26">
        <f>F216*'1-Data Input'!$D$6</f>
        <v>0</v>
      </c>
      <c r="T216" s="26">
        <f>G216*'1-Data Input'!$D$7</f>
        <v>0</v>
      </c>
      <c r="U216" s="26">
        <f>H216*'1-Data Input'!$D$8</f>
        <v>0</v>
      </c>
      <c r="V216" s="26">
        <f>I216*'1-Data Input'!$D$9</f>
        <v>0</v>
      </c>
      <c r="W216" s="26">
        <f>J216*'1-Data Input'!$D$10</f>
        <v>0</v>
      </c>
      <c r="X216" s="26">
        <f>K216*'1-Data Input'!$D$11</f>
        <v>0</v>
      </c>
      <c r="Y216" s="26">
        <f>L216*'1-Data Input'!$D$12</f>
        <v>0</v>
      </c>
      <c r="Z216" s="27">
        <f>M216*'1-Data Input'!$D$13</f>
        <v>0</v>
      </c>
    </row>
  </sheetData>
  <sheetProtection deleteColumns="0" deleteRows="0"/>
  <mergeCells count="32">
    <mergeCell ref="A137:M137"/>
    <mergeCell ref="N137:Z137"/>
    <mergeCell ref="A55:F55"/>
    <mergeCell ref="G55:Z55"/>
    <mergeCell ref="A109:F109"/>
    <mergeCell ref="G109:Z109"/>
    <mergeCell ref="A110:M110"/>
    <mergeCell ref="N110:Z110"/>
    <mergeCell ref="A136:F136"/>
    <mergeCell ref="G136:Z136"/>
    <mergeCell ref="A56:M56"/>
    <mergeCell ref="N56:Z56"/>
    <mergeCell ref="A82:F82"/>
    <mergeCell ref="G82:Z82"/>
    <mergeCell ref="A83:M83"/>
    <mergeCell ref="N83:Z83"/>
    <mergeCell ref="A190:F190"/>
    <mergeCell ref="G190:Z190"/>
    <mergeCell ref="A191:M191"/>
    <mergeCell ref="N191:Z191"/>
    <mergeCell ref="A1:F1"/>
    <mergeCell ref="G1:Z1"/>
    <mergeCell ref="A163:F163"/>
    <mergeCell ref="G163:Z163"/>
    <mergeCell ref="A164:M164"/>
    <mergeCell ref="N164:Z164"/>
    <mergeCell ref="A28:F28"/>
    <mergeCell ref="G28:Z28"/>
    <mergeCell ref="A29:M29"/>
    <mergeCell ref="N29:Z29"/>
    <mergeCell ref="A2:M2"/>
    <mergeCell ref="N2:Z2"/>
  </mergeCells>
  <phoneticPr fontId="3" type="noConversion"/>
  <conditionalFormatting sqref="B4:M27">
    <cfRule type="colorScale" priority="27">
      <colorScale>
        <cfvo type="min"/>
        <cfvo type="percentile" val="50"/>
        <cfvo type="max"/>
        <color rgb="FF63BE7B"/>
        <color rgb="FFFFEB84"/>
        <color rgb="FFF8696B"/>
      </colorScale>
    </cfRule>
  </conditionalFormatting>
  <conditionalFormatting sqref="O4:Z27">
    <cfRule type="colorScale" priority="26">
      <colorScale>
        <cfvo type="min"/>
        <cfvo type="percentile" val="50"/>
        <cfvo type="max"/>
        <color rgb="FF63BE7B"/>
        <color rgb="FFFFEB84"/>
        <color rgb="FFF8696B"/>
      </colorScale>
    </cfRule>
  </conditionalFormatting>
  <conditionalFormatting sqref="B31:M54">
    <cfRule type="colorScale" priority="15">
      <colorScale>
        <cfvo type="min"/>
        <cfvo type="percentile" val="50"/>
        <cfvo type="max"/>
        <color rgb="FF63BE7B"/>
        <color rgb="FFFFEB84"/>
        <color rgb="FFF8696B"/>
      </colorScale>
    </cfRule>
  </conditionalFormatting>
  <conditionalFormatting sqref="O31:Z54">
    <cfRule type="colorScale" priority="14">
      <colorScale>
        <cfvo type="min"/>
        <cfvo type="percentile" val="50"/>
        <cfvo type="max"/>
        <color rgb="FF63BE7B"/>
        <color rgb="FFFFEB84"/>
        <color rgb="FFF8696B"/>
      </colorScale>
    </cfRule>
  </conditionalFormatting>
  <conditionalFormatting sqref="B58:M81">
    <cfRule type="colorScale" priority="13">
      <colorScale>
        <cfvo type="min"/>
        <cfvo type="percentile" val="50"/>
        <cfvo type="max"/>
        <color rgb="FF63BE7B"/>
        <color rgb="FFFFEB84"/>
        <color rgb="FFF8696B"/>
      </colorScale>
    </cfRule>
  </conditionalFormatting>
  <conditionalFormatting sqref="O58:Z81">
    <cfRule type="colorScale" priority="12">
      <colorScale>
        <cfvo type="min"/>
        <cfvo type="percentile" val="50"/>
        <cfvo type="max"/>
        <color rgb="FF63BE7B"/>
        <color rgb="FFFFEB84"/>
        <color rgb="FFF8696B"/>
      </colorScale>
    </cfRule>
  </conditionalFormatting>
  <conditionalFormatting sqref="B85:M108">
    <cfRule type="colorScale" priority="11">
      <colorScale>
        <cfvo type="min"/>
        <cfvo type="percentile" val="50"/>
        <cfvo type="max"/>
        <color rgb="FF63BE7B"/>
        <color rgb="FFFFEB84"/>
        <color rgb="FFF8696B"/>
      </colorScale>
    </cfRule>
  </conditionalFormatting>
  <conditionalFormatting sqref="O85:Z108">
    <cfRule type="colorScale" priority="10">
      <colorScale>
        <cfvo type="min"/>
        <cfvo type="percentile" val="50"/>
        <cfvo type="max"/>
        <color rgb="FF63BE7B"/>
        <color rgb="FFFFEB84"/>
        <color rgb="FFF8696B"/>
      </colorScale>
    </cfRule>
  </conditionalFormatting>
  <conditionalFormatting sqref="B112:M135">
    <cfRule type="colorScale" priority="9">
      <colorScale>
        <cfvo type="min"/>
        <cfvo type="percentile" val="50"/>
        <cfvo type="max"/>
        <color rgb="FF63BE7B"/>
        <color rgb="FFFFEB84"/>
        <color rgb="FFF8696B"/>
      </colorScale>
    </cfRule>
  </conditionalFormatting>
  <conditionalFormatting sqref="O112:Z135">
    <cfRule type="colorScale" priority="8">
      <colorScale>
        <cfvo type="min"/>
        <cfvo type="percentile" val="50"/>
        <cfvo type="max"/>
        <color rgb="FF63BE7B"/>
        <color rgb="FFFFEB84"/>
        <color rgb="FFF8696B"/>
      </colorScale>
    </cfRule>
  </conditionalFormatting>
  <conditionalFormatting sqref="B139:M162">
    <cfRule type="colorScale" priority="7">
      <colorScale>
        <cfvo type="min"/>
        <cfvo type="percentile" val="50"/>
        <cfvo type="max"/>
        <color rgb="FF63BE7B"/>
        <color rgb="FFFFEB84"/>
        <color rgb="FFF8696B"/>
      </colorScale>
    </cfRule>
  </conditionalFormatting>
  <conditionalFormatting sqref="O139:Z162">
    <cfRule type="colorScale" priority="5">
      <colorScale>
        <cfvo type="min"/>
        <cfvo type="percentile" val="50"/>
        <cfvo type="max"/>
        <color rgb="FF63BE7B"/>
        <color rgb="FFFFEB84"/>
        <color rgb="FFF8696B"/>
      </colorScale>
    </cfRule>
  </conditionalFormatting>
  <conditionalFormatting sqref="B166:M189">
    <cfRule type="colorScale" priority="4">
      <colorScale>
        <cfvo type="min"/>
        <cfvo type="percentile" val="50"/>
        <cfvo type="max"/>
        <color rgb="FF63BE7B"/>
        <color rgb="FFFFEB84"/>
        <color rgb="FFF8696B"/>
      </colorScale>
    </cfRule>
  </conditionalFormatting>
  <conditionalFormatting sqref="O166:Z189">
    <cfRule type="colorScale" priority="3">
      <colorScale>
        <cfvo type="min"/>
        <cfvo type="percentile" val="50"/>
        <cfvo type="max"/>
        <color rgb="FF63BE7B"/>
        <color rgb="FFFFEB84"/>
        <color rgb="FFF8696B"/>
      </colorScale>
    </cfRule>
  </conditionalFormatting>
  <conditionalFormatting sqref="B193:M216">
    <cfRule type="colorScale" priority="2">
      <colorScale>
        <cfvo type="min"/>
        <cfvo type="percentile" val="50"/>
        <cfvo type="max"/>
        <color rgb="FF63BE7B"/>
        <color rgb="FFFFEB84"/>
        <color rgb="FFF8696B"/>
      </colorScale>
    </cfRule>
  </conditionalFormatting>
  <conditionalFormatting sqref="O193:Z216">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1AF83-F357-473E-982E-D426BAB64793}">
  <dimension ref="A1:BD162"/>
  <sheetViews>
    <sheetView topLeftCell="A130" zoomScale="85" zoomScaleNormal="85" workbookViewId="0">
      <selection activeCell="G136" sqref="G136:Z136"/>
    </sheetView>
  </sheetViews>
  <sheetFormatPr defaultColWidth="11.42578125" defaultRowHeight="15" x14ac:dyDescent="0.25"/>
  <cols>
    <col min="1" max="1" width="9.28515625" bestFit="1" customWidth="1"/>
    <col min="2" max="13" width="5.28515625" bestFit="1" customWidth="1"/>
    <col min="14" max="14" width="9.28515625" bestFit="1" customWidth="1"/>
    <col min="15" max="15" width="9.85546875" bestFit="1" customWidth="1"/>
    <col min="16" max="25" width="11" bestFit="1" customWidth="1"/>
    <col min="26" max="26" width="9.85546875" bestFit="1" customWidth="1"/>
    <col min="27" max="56" width="0" hidden="1" customWidth="1"/>
  </cols>
  <sheetData>
    <row r="1" spans="1:56" ht="26.25" x14ac:dyDescent="0.25">
      <c r="A1" s="70" t="s">
        <v>34</v>
      </c>
      <c r="B1" s="70"/>
      <c r="C1" s="70"/>
      <c r="D1" s="70"/>
      <c r="E1" s="70"/>
      <c r="F1" s="70"/>
      <c r="G1" s="71" t="s">
        <v>54</v>
      </c>
      <c r="H1" s="71"/>
      <c r="I1" s="71"/>
      <c r="J1" s="71"/>
      <c r="K1" s="71"/>
      <c r="L1" s="71"/>
      <c r="M1" s="71"/>
      <c r="N1" s="71"/>
      <c r="O1" s="71"/>
      <c r="P1" s="71"/>
      <c r="Q1" s="71"/>
      <c r="R1" s="71"/>
      <c r="S1" s="71"/>
      <c r="T1" s="71"/>
      <c r="U1" s="71"/>
      <c r="V1" s="71"/>
      <c r="W1" s="71"/>
      <c r="X1" s="71"/>
      <c r="Y1" s="71"/>
      <c r="Z1" s="72"/>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row>
    <row r="2" spans="1:56" ht="33.75" x14ac:dyDescent="0.5">
      <c r="A2" s="67" t="s">
        <v>35</v>
      </c>
      <c r="B2" s="67"/>
      <c r="C2" s="67"/>
      <c r="D2" s="67"/>
      <c r="E2" s="67"/>
      <c r="F2" s="67"/>
      <c r="G2" s="67"/>
      <c r="H2" s="67"/>
      <c r="I2" s="67"/>
      <c r="J2" s="67"/>
      <c r="K2" s="67"/>
      <c r="L2" s="67"/>
      <c r="M2" s="68"/>
      <c r="N2" s="69" t="s">
        <v>36</v>
      </c>
      <c r="O2" s="69"/>
      <c r="P2" s="69"/>
      <c r="Q2" s="69"/>
      <c r="R2" s="69"/>
      <c r="S2" s="69"/>
      <c r="T2" s="69"/>
      <c r="U2" s="69"/>
      <c r="V2" s="69"/>
      <c r="W2" s="69"/>
      <c r="X2" s="69"/>
      <c r="Y2" s="69"/>
      <c r="Z2" s="69"/>
      <c r="AA2" s="15"/>
      <c r="AB2" s="15" t="s">
        <v>63</v>
      </c>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row>
    <row r="3" spans="1:56" ht="46.5" x14ac:dyDescent="0.25">
      <c r="A3" s="28" t="s">
        <v>30</v>
      </c>
      <c r="B3" s="29" t="s">
        <v>16</v>
      </c>
      <c r="C3" s="29" t="s">
        <v>17</v>
      </c>
      <c r="D3" s="29" t="s">
        <v>18</v>
      </c>
      <c r="E3" s="29" t="s">
        <v>19</v>
      </c>
      <c r="F3" s="29" t="s">
        <v>4</v>
      </c>
      <c r="G3" s="29" t="s">
        <v>20</v>
      </c>
      <c r="H3" s="29" t="s">
        <v>21</v>
      </c>
      <c r="I3" s="29" t="s">
        <v>22</v>
      </c>
      <c r="J3" s="29" t="s">
        <v>23</v>
      </c>
      <c r="K3" s="29" t="s">
        <v>24</v>
      </c>
      <c r="L3" s="29" t="s">
        <v>25</v>
      </c>
      <c r="M3" s="30" t="s">
        <v>26</v>
      </c>
      <c r="N3" s="31" t="s">
        <v>30</v>
      </c>
      <c r="O3" s="31" t="s">
        <v>16</v>
      </c>
      <c r="P3" s="31" t="s">
        <v>17</v>
      </c>
      <c r="Q3" s="31" t="s">
        <v>18</v>
      </c>
      <c r="R3" s="31" t="s">
        <v>19</v>
      </c>
      <c r="S3" s="31" t="s">
        <v>4</v>
      </c>
      <c r="T3" s="31" t="s">
        <v>20</v>
      </c>
      <c r="U3" s="31" t="s">
        <v>21</v>
      </c>
      <c r="V3" s="31" t="s">
        <v>22</v>
      </c>
      <c r="W3" s="31" t="s">
        <v>23</v>
      </c>
      <c r="X3" s="31" t="s">
        <v>24</v>
      </c>
      <c r="Y3" s="31" t="s">
        <v>25</v>
      </c>
      <c r="Z3" s="31" t="s">
        <v>26</v>
      </c>
      <c r="AA3" s="15"/>
      <c r="AB3" s="15" t="str">
        <f>G1</f>
        <v>Belgium</v>
      </c>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row>
    <row r="4" spans="1:56" x14ac:dyDescent="0.25">
      <c r="A4" s="32">
        <v>0</v>
      </c>
      <c r="B4" s="33">
        <v>0</v>
      </c>
      <c r="C4" s="34">
        <v>0</v>
      </c>
      <c r="D4" s="34">
        <v>0</v>
      </c>
      <c r="E4" s="34">
        <v>0</v>
      </c>
      <c r="F4" s="34">
        <v>0</v>
      </c>
      <c r="G4" s="34">
        <v>0</v>
      </c>
      <c r="H4" s="34">
        <v>0</v>
      </c>
      <c r="I4" s="34">
        <v>0</v>
      </c>
      <c r="J4" s="34">
        <v>0</v>
      </c>
      <c r="K4" s="34">
        <v>0</v>
      </c>
      <c r="L4" s="34">
        <v>0</v>
      </c>
      <c r="M4" s="35">
        <v>0</v>
      </c>
      <c r="N4" s="32">
        <v>0</v>
      </c>
      <c r="O4" s="20">
        <f>B4*'1-Data Input'!$E$2</f>
        <v>0</v>
      </c>
      <c r="P4" s="20">
        <f>C4*'1-Data Input'!$E$3</f>
        <v>0</v>
      </c>
      <c r="Q4" s="20">
        <f>D4*'1-Data Input'!$E$4</f>
        <v>0</v>
      </c>
      <c r="R4" s="20">
        <f>E4*'1-Data Input'!$E$5</f>
        <v>0</v>
      </c>
      <c r="S4" s="20">
        <f>F4*'1-Data Input'!$E$6</f>
        <v>0</v>
      </c>
      <c r="T4" s="20">
        <f>G4*'1-Data Input'!$E$7</f>
        <v>0</v>
      </c>
      <c r="U4" s="20">
        <f>H4*'1-Data Input'!$E$8</f>
        <v>0</v>
      </c>
      <c r="V4" s="20">
        <f>I4*'1-Data Input'!$E$9</f>
        <v>0</v>
      </c>
      <c r="W4" s="20">
        <f>J4*'1-Data Input'!$E$10</f>
        <v>0</v>
      </c>
      <c r="X4" s="20">
        <f>K4*'1-Data Input'!$E$11</f>
        <v>0</v>
      </c>
      <c r="Y4" s="20">
        <f>L4*'1-Data Input'!$E$12</f>
        <v>0</v>
      </c>
      <c r="Z4" s="20">
        <f>M4*'1-Data Input'!$E$13</f>
        <v>0</v>
      </c>
      <c r="AA4" s="15"/>
      <c r="AB4" s="15" t="str">
        <f>G28</f>
        <v>Northern France</v>
      </c>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row>
    <row r="5" spans="1:56" x14ac:dyDescent="0.25">
      <c r="A5" s="32">
        <v>4.1666666666666699E-2</v>
      </c>
      <c r="B5" s="33">
        <v>0</v>
      </c>
      <c r="C5" s="34">
        <v>0</v>
      </c>
      <c r="D5" s="34">
        <v>0</v>
      </c>
      <c r="E5" s="34">
        <v>0</v>
      </c>
      <c r="F5" s="34">
        <v>0</v>
      </c>
      <c r="G5" s="34">
        <v>0</v>
      </c>
      <c r="H5" s="34">
        <v>0</v>
      </c>
      <c r="I5" s="34">
        <v>0</v>
      </c>
      <c r="J5" s="34">
        <v>0</v>
      </c>
      <c r="K5" s="34">
        <v>0</v>
      </c>
      <c r="L5" s="34">
        <v>0</v>
      </c>
      <c r="M5" s="35">
        <v>0</v>
      </c>
      <c r="N5" s="32">
        <v>4.1666666666666699E-2</v>
      </c>
      <c r="O5" s="20">
        <f>B5*'1-Data Input'!$E$2</f>
        <v>0</v>
      </c>
      <c r="P5" s="20">
        <f>C5*'1-Data Input'!$E$3</f>
        <v>0</v>
      </c>
      <c r="Q5" s="20">
        <f>D5*'1-Data Input'!$E$4</f>
        <v>0</v>
      </c>
      <c r="R5" s="20">
        <f>E5*'1-Data Input'!$E$5</f>
        <v>0</v>
      </c>
      <c r="S5" s="20">
        <f>F5*'1-Data Input'!$E$6</f>
        <v>0</v>
      </c>
      <c r="T5" s="20">
        <f>G5*'1-Data Input'!$E$7</f>
        <v>0</v>
      </c>
      <c r="U5" s="20">
        <f>H5*'1-Data Input'!$E$8</f>
        <v>0</v>
      </c>
      <c r="V5" s="20">
        <f>I5*'1-Data Input'!$E$9</f>
        <v>0</v>
      </c>
      <c r="W5" s="20">
        <f>J5*'1-Data Input'!$E$10</f>
        <v>0</v>
      </c>
      <c r="X5" s="20">
        <f>K5*'1-Data Input'!$E$11</f>
        <v>0</v>
      </c>
      <c r="Y5" s="20">
        <f>L5*'1-Data Input'!$E$12</f>
        <v>0</v>
      </c>
      <c r="Z5" s="20">
        <f>M5*'1-Data Input'!$E$13</f>
        <v>0</v>
      </c>
      <c r="AA5" s="15"/>
      <c r="AB5" s="15" t="str">
        <f>G55</f>
        <v>Eastern France</v>
      </c>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row>
    <row r="6" spans="1:56" x14ac:dyDescent="0.25">
      <c r="A6" s="32">
        <v>8.3333333333333301E-2</v>
      </c>
      <c r="B6" s="33">
        <v>0</v>
      </c>
      <c r="C6" s="34">
        <v>0</v>
      </c>
      <c r="D6" s="34">
        <v>0</v>
      </c>
      <c r="E6" s="34">
        <v>0</v>
      </c>
      <c r="F6" s="34">
        <v>0</v>
      </c>
      <c r="G6" s="34">
        <v>0</v>
      </c>
      <c r="H6" s="34">
        <v>0</v>
      </c>
      <c r="I6" s="34">
        <v>0</v>
      </c>
      <c r="J6" s="34">
        <v>0</v>
      </c>
      <c r="K6" s="34">
        <v>0</v>
      </c>
      <c r="L6" s="34">
        <v>0</v>
      </c>
      <c r="M6" s="35">
        <v>0</v>
      </c>
      <c r="N6" s="32">
        <v>8.3333333333333301E-2</v>
      </c>
      <c r="O6" s="20">
        <f>B6*'1-Data Input'!$E$2</f>
        <v>0</v>
      </c>
      <c r="P6" s="20">
        <f>C6*'1-Data Input'!$E$3</f>
        <v>0</v>
      </c>
      <c r="Q6" s="20">
        <f>D6*'1-Data Input'!$E$4</f>
        <v>0</v>
      </c>
      <c r="R6" s="20">
        <f>E6*'1-Data Input'!$E$5</f>
        <v>0</v>
      </c>
      <c r="S6" s="20">
        <f>F6*'1-Data Input'!$E$6</f>
        <v>0</v>
      </c>
      <c r="T6" s="20">
        <f>G6*'1-Data Input'!$E$7</f>
        <v>0</v>
      </c>
      <c r="U6" s="20">
        <f>H6*'1-Data Input'!$E$8</f>
        <v>0</v>
      </c>
      <c r="V6" s="20">
        <f>I6*'1-Data Input'!$E$9</f>
        <v>0</v>
      </c>
      <c r="W6" s="20">
        <f>J6*'1-Data Input'!$E$10</f>
        <v>0</v>
      </c>
      <c r="X6" s="20">
        <f>K6*'1-Data Input'!$E$11</f>
        <v>0</v>
      </c>
      <c r="Y6" s="20">
        <f>L6*'1-Data Input'!$E$12</f>
        <v>0</v>
      </c>
      <c r="Z6" s="20">
        <f>M6*'1-Data Input'!$E$13</f>
        <v>0</v>
      </c>
      <c r="AA6" s="15"/>
      <c r="AB6" s="15" t="str">
        <f>G82</f>
        <v>Western France</v>
      </c>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row>
    <row r="7" spans="1:56" x14ac:dyDescent="0.25">
      <c r="A7" s="32">
        <v>0.125</v>
      </c>
      <c r="B7" s="33">
        <v>0</v>
      </c>
      <c r="C7" s="34">
        <v>0</v>
      </c>
      <c r="D7" s="34">
        <v>0</v>
      </c>
      <c r="E7" s="34">
        <v>0</v>
      </c>
      <c r="F7" s="34">
        <v>0</v>
      </c>
      <c r="G7" s="34">
        <v>0</v>
      </c>
      <c r="H7" s="34">
        <v>0</v>
      </c>
      <c r="I7" s="34">
        <v>0</v>
      </c>
      <c r="J7" s="34">
        <v>0</v>
      </c>
      <c r="K7" s="34">
        <v>0</v>
      </c>
      <c r="L7" s="34">
        <v>0</v>
      </c>
      <c r="M7" s="35">
        <v>0</v>
      </c>
      <c r="N7" s="32">
        <v>0.125</v>
      </c>
      <c r="O7" s="20">
        <f>B7*'1-Data Input'!$E$2</f>
        <v>0</v>
      </c>
      <c r="P7" s="20">
        <f>C7*'1-Data Input'!$E$3</f>
        <v>0</v>
      </c>
      <c r="Q7" s="20">
        <f>D7*'1-Data Input'!$E$4</f>
        <v>0</v>
      </c>
      <c r="R7" s="20">
        <f>E7*'1-Data Input'!$E$5</f>
        <v>0</v>
      </c>
      <c r="S7" s="20">
        <f>F7*'1-Data Input'!$E$6</f>
        <v>0</v>
      </c>
      <c r="T7" s="20">
        <f>G7*'1-Data Input'!$E$7</f>
        <v>0</v>
      </c>
      <c r="U7" s="20">
        <f>H7*'1-Data Input'!$E$8</f>
        <v>0</v>
      </c>
      <c r="V7" s="20">
        <f>I7*'1-Data Input'!$E$9</f>
        <v>0</v>
      </c>
      <c r="W7" s="20">
        <f>J7*'1-Data Input'!$E$10</f>
        <v>0</v>
      </c>
      <c r="X7" s="20">
        <f>K7*'1-Data Input'!$E$11</f>
        <v>0</v>
      </c>
      <c r="Y7" s="20">
        <f>L7*'1-Data Input'!$E$12</f>
        <v>0</v>
      </c>
      <c r="Z7" s="20">
        <f>M7*'1-Data Input'!$E$13</f>
        <v>0</v>
      </c>
      <c r="AA7" s="15"/>
      <c r="AB7" s="15" t="str">
        <f>G109</f>
        <v>Central France</v>
      </c>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row>
    <row r="8" spans="1:56" x14ac:dyDescent="0.25">
      <c r="A8" s="32">
        <v>0.16666666666666699</v>
      </c>
      <c r="B8" s="33">
        <v>0</v>
      </c>
      <c r="C8" s="34">
        <v>0</v>
      </c>
      <c r="D8" s="34">
        <v>0</v>
      </c>
      <c r="E8" s="34">
        <v>0</v>
      </c>
      <c r="F8" s="34">
        <v>0</v>
      </c>
      <c r="G8" s="34">
        <v>0</v>
      </c>
      <c r="H8" s="34">
        <v>0</v>
      </c>
      <c r="I8" s="34">
        <v>0</v>
      </c>
      <c r="J8" s="34">
        <v>0</v>
      </c>
      <c r="K8" s="34">
        <v>0</v>
      </c>
      <c r="L8" s="34">
        <v>0</v>
      </c>
      <c r="M8" s="35">
        <v>0</v>
      </c>
      <c r="N8" s="32">
        <v>0.16666666666666699</v>
      </c>
      <c r="O8" s="20">
        <f>B8*'1-Data Input'!$E$2</f>
        <v>0</v>
      </c>
      <c r="P8" s="20">
        <f>C8*'1-Data Input'!$E$3</f>
        <v>0</v>
      </c>
      <c r="Q8" s="20">
        <f>D8*'1-Data Input'!$E$4</f>
        <v>0</v>
      </c>
      <c r="R8" s="20">
        <f>E8*'1-Data Input'!$E$5</f>
        <v>0</v>
      </c>
      <c r="S8" s="20">
        <f>F8*'1-Data Input'!$E$6</f>
        <v>0</v>
      </c>
      <c r="T8" s="20">
        <f>G8*'1-Data Input'!$E$7</f>
        <v>0</v>
      </c>
      <c r="U8" s="20">
        <f>H8*'1-Data Input'!$E$8</f>
        <v>0</v>
      </c>
      <c r="V8" s="20">
        <f>I8*'1-Data Input'!$E$9</f>
        <v>0</v>
      </c>
      <c r="W8" s="20">
        <f>J8*'1-Data Input'!$E$10</f>
        <v>0</v>
      </c>
      <c r="X8" s="20">
        <f>K8*'1-Data Input'!$E$11</f>
        <v>0</v>
      </c>
      <c r="Y8" s="20">
        <f>L8*'1-Data Input'!$E$12</f>
        <v>0</v>
      </c>
      <c r="Z8" s="20">
        <f>M8*'1-Data Input'!$E$13</f>
        <v>0</v>
      </c>
      <c r="AA8" s="15"/>
      <c r="AB8" s="15" t="str">
        <f>G136</f>
        <v>Custom made - Pacapime</v>
      </c>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row>
    <row r="9" spans="1:56" x14ac:dyDescent="0.25">
      <c r="A9" s="32">
        <v>0.20833333333333301</v>
      </c>
      <c r="B9" s="33">
        <v>0</v>
      </c>
      <c r="C9" s="34">
        <v>0</v>
      </c>
      <c r="D9" s="34">
        <v>0</v>
      </c>
      <c r="E9" s="34">
        <v>0</v>
      </c>
      <c r="F9" s="34">
        <v>1.6694640580567559E-3</v>
      </c>
      <c r="G9" s="34">
        <v>6.6202878738384199E-3</v>
      </c>
      <c r="H9" s="34">
        <v>1.9306895124927878E-3</v>
      </c>
      <c r="I9" s="34">
        <v>0</v>
      </c>
      <c r="J9" s="34">
        <v>0</v>
      </c>
      <c r="K9" s="34">
        <v>0</v>
      </c>
      <c r="L9" s="34">
        <v>0</v>
      </c>
      <c r="M9" s="35">
        <v>0</v>
      </c>
      <c r="N9" s="32">
        <v>0.20833333333333301</v>
      </c>
      <c r="O9" s="20">
        <f>B9*'1-Data Input'!$E$2</f>
        <v>0</v>
      </c>
      <c r="P9" s="20">
        <f>C9*'1-Data Input'!$E$3</f>
        <v>0</v>
      </c>
      <c r="Q9" s="20">
        <f>D9*'1-Data Input'!$E$4</f>
        <v>0</v>
      </c>
      <c r="R9" s="20">
        <f>E9*'1-Data Input'!$E$5</f>
        <v>0</v>
      </c>
      <c r="S9" s="20">
        <f>F9*'1-Data Input'!$E$6</f>
        <v>0</v>
      </c>
      <c r="T9" s="20">
        <f>G9*'1-Data Input'!$E$7</f>
        <v>0</v>
      </c>
      <c r="U9" s="20">
        <f>H9*'1-Data Input'!$E$8</f>
        <v>0</v>
      </c>
      <c r="V9" s="20">
        <f>I9*'1-Data Input'!$E$9</f>
        <v>0</v>
      </c>
      <c r="W9" s="20">
        <f>J9*'1-Data Input'!$E$10</f>
        <v>0</v>
      </c>
      <c r="X9" s="20">
        <f>K9*'1-Data Input'!$E$11</f>
        <v>0</v>
      </c>
      <c r="Y9" s="20">
        <f>L9*'1-Data Input'!$E$12</f>
        <v>0</v>
      </c>
      <c r="Z9" s="20">
        <f>M9*'1-Data Input'!$E$13</f>
        <v>0</v>
      </c>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row>
    <row r="10" spans="1:56" x14ac:dyDescent="0.25">
      <c r="A10" s="32">
        <v>0.25</v>
      </c>
      <c r="B10" s="33">
        <v>0</v>
      </c>
      <c r="C10" s="34">
        <v>0</v>
      </c>
      <c r="D10" s="34">
        <v>0</v>
      </c>
      <c r="E10" s="34">
        <v>4.0167692000775447E-3</v>
      </c>
      <c r="F10" s="34">
        <v>1.6239159338844671E-2</v>
      </c>
      <c r="G10" s="34">
        <v>2.0198459304062624E-2</v>
      </c>
      <c r="H10" s="34">
        <v>1.5534042651493348E-2</v>
      </c>
      <c r="I10" s="34">
        <v>8.5460550299728995E-3</v>
      </c>
      <c r="J10" s="34">
        <v>6.8591950156833903E-5</v>
      </c>
      <c r="K10" s="34">
        <v>0</v>
      </c>
      <c r="L10" s="34">
        <v>0</v>
      </c>
      <c r="M10" s="35">
        <v>0</v>
      </c>
      <c r="N10" s="32">
        <v>0.25</v>
      </c>
      <c r="O10" s="20">
        <f>B10*'1-Data Input'!$E$2</f>
        <v>0</v>
      </c>
      <c r="P10" s="20">
        <f>C10*'1-Data Input'!$E$3</f>
        <v>0</v>
      </c>
      <c r="Q10" s="20">
        <f>D10*'1-Data Input'!$E$4</f>
        <v>0</v>
      </c>
      <c r="R10" s="20">
        <f>E10*'1-Data Input'!$E$5</f>
        <v>0</v>
      </c>
      <c r="S10" s="20">
        <f>F10*'1-Data Input'!$E$6</f>
        <v>0</v>
      </c>
      <c r="T10" s="20">
        <f>G10*'1-Data Input'!$E$7</f>
        <v>0</v>
      </c>
      <c r="U10" s="20">
        <f>H10*'1-Data Input'!$E$8</f>
        <v>0</v>
      </c>
      <c r="V10" s="20">
        <f>I10*'1-Data Input'!$E$9</f>
        <v>0</v>
      </c>
      <c r="W10" s="20">
        <f>J10*'1-Data Input'!$E$10</f>
        <v>0</v>
      </c>
      <c r="X10" s="20">
        <f>K10*'1-Data Input'!$E$11</f>
        <v>0</v>
      </c>
      <c r="Y10" s="20">
        <f>L10*'1-Data Input'!$E$12</f>
        <v>0</v>
      </c>
      <c r="Z10" s="20">
        <f>M10*'1-Data Input'!$E$13</f>
        <v>0</v>
      </c>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row>
    <row r="11" spans="1:56" x14ac:dyDescent="0.25">
      <c r="A11" s="32">
        <v>0.29166666666666702</v>
      </c>
      <c r="B11" s="33">
        <v>0</v>
      </c>
      <c r="C11" s="34">
        <v>0</v>
      </c>
      <c r="D11" s="34">
        <v>5.9357522844538232E-3</v>
      </c>
      <c r="E11" s="34">
        <v>2.7567730413013688E-2</v>
      </c>
      <c r="F11" s="34">
        <v>4.243639891895274E-2</v>
      </c>
      <c r="G11" s="34">
        <v>4.5794581917634608E-2</v>
      </c>
      <c r="H11" s="34">
        <v>4.0167482656000994E-2</v>
      </c>
      <c r="I11" s="34">
        <v>3.5338461569119475E-2</v>
      </c>
      <c r="J11" s="34">
        <v>1.8307960010372788E-2</v>
      </c>
      <c r="K11" s="34">
        <v>2.8633053690985777E-3</v>
      </c>
      <c r="L11" s="34">
        <v>8.9330427315130326E-4</v>
      </c>
      <c r="M11" s="35">
        <v>0</v>
      </c>
      <c r="N11" s="32">
        <v>0.29166666666666702</v>
      </c>
      <c r="O11" s="20">
        <f>B11*'1-Data Input'!$E$2</f>
        <v>0</v>
      </c>
      <c r="P11" s="20">
        <f>C11*'1-Data Input'!$E$3</f>
        <v>0</v>
      </c>
      <c r="Q11" s="20">
        <f>D11*'1-Data Input'!$E$4</f>
        <v>0</v>
      </c>
      <c r="R11" s="20">
        <f>E11*'1-Data Input'!$E$5</f>
        <v>0</v>
      </c>
      <c r="S11" s="20">
        <f>F11*'1-Data Input'!$E$6</f>
        <v>0</v>
      </c>
      <c r="T11" s="20">
        <f>G11*'1-Data Input'!$E$7</f>
        <v>0</v>
      </c>
      <c r="U11" s="20">
        <f>H11*'1-Data Input'!$E$8</f>
        <v>0</v>
      </c>
      <c r="V11" s="20">
        <f>I11*'1-Data Input'!$E$9</f>
        <v>0</v>
      </c>
      <c r="W11" s="20">
        <f>J11*'1-Data Input'!$E$10</f>
        <v>0</v>
      </c>
      <c r="X11" s="20">
        <f>K11*'1-Data Input'!$E$11</f>
        <v>0</v>
      </c>
      <c r="Y11" s="20">
        <f>L11*'1-Data Input'!$E$12</f>
        <v>0</v>
      </c>
      <c r="Z11" s="20">
        <f>M11*'1-Data Input'!$E$13</f>
        <v>0</v>
      </c>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row>
    <row r="12" spans="1:56" x14ac:dyDescent="0.25">
      <c r="A12" s="32">
        <v>0.33333333333333298</v>
      </c>
      <c r="B12" s="33">
        <v>0</v>
      </c>
      <c r="C12" s="34">
        <v>5.4723382891230937E-3</v>
      </c>
      <c r="D12" s="34">
        <v>3.6925595528140377E-2</v>
      </c>
      <c r="E12" s="34">
        <v>5.9886226972899838E-2</v>
      </c>
      <c r="F12" s="34">
        <v>7.1021361330620342E-2</v>
      </c>
      <c r="G12" s="34">
        <v>6.970554975586897E-2</v>
      </c>
      <c r="H12" s="34">
        <v>6.4916539644942942E-2</v>
      </c>
      <c r="I12" s="34">
        <v>6.4866110846268824E-2</v>
      </c>
      <c r="J12" s="34">
        <v>5.0210941705601045E-2</v>
      </c>
      <c r="K12" s="34">
        <v>3.6782153109793533E-2</v>
      </c>
      <c r="L12" s="34">
        <v>1.8917530912193514E-2</v>
      </c>
      <c r="M12" s="35">
        <v>6.3451586863049157E-3</v>
      </c>
      <c r="N12" s="32">
        <v>0.33333333333333298</v>
      </c>
      <c r="O12" s="20">
        <f>B12*'1-Data Input'!$E$2</f>
        <v>0</v>
      </c>
      <c r="P12" s="20">
        <f>C12*'1-Data Input'!$E$3</f>
        <v>0</v>
      </c>
      <c r="Q12" s="20">
        <f>D12*'1-Data Input'!$E$4</f>
        <v>0</v>
      </c>
      <c r="R12" s="20">
        <f>E12*'1-Data Input'!$E$5</f>
        <v>0</v>
      </c>
      <c r="S12" s="20">
        <f>F12*'1-Data Input'!$E$6</f>
        <v>0</v>
      </c>
      <c r="T12" s="20">
        <f>G12*'1-Data Input'!$E$7</f>
        <v>0</v>
      </c>
      <c r="U12" s="20">
        <f>H12*'1-Data Input'!$E$8</f>
        <v>0</v>
      </c>
      <c r="V12" s="20">
        <f>I12*'1-Data Input'!$E$9</f>
        <v>0</v>
      </c>
      <c r="W12" s="20">
        <f>J12*'1-Data Input'!$E$10</f>
        <v>0</v>
      </c>
      <c r="X12" s="20">
        <f>K12*'1-Data Input'!$E$11</f>
        <v>0</v>
      </c>
      <c r="Y12" s="20">
        <f>L12*'1-Data Input'!$E$12</f>
        <v>0</v>
      </c>
      <c r="Z12" s="20">
        <f>M12*'1-Data Input'!$E$13</f>
        <v>0</v>
      </c>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row>
    <row r="13" spans="1:56" x14ac:dyDescent="0.25">
      <c r="A13" s="32">
        <v>0.375</v>
      </c>
      <c r="B13" s="33">
        <v>2.2603021938131643E-2</v>
      </c>
      <c r="C13" s="34">
        <v>4.9162935257794367E-2</v>
      </c>
      <c r="D13" s="34">
        <v>7.6237311982417746E-2</v>
      </c>
      <c r="E13" s="34">
        <v>9.0771843875691663E-2</v>
      </c>
      <c r="F13" s="34">
        <v>9.2683636453649354E-2</v>
      </c>
      <c r="G13" s="34">
        <v>8.9369118782157295E-2</v>
      </c>
      <c r="H13" s="34">
        <v>8.9106655620728933E-2</v>
      </c>
      <c r="I13" s="34">
        <v>9.0597643923895702E-2</v>
      </c>
      <c r="J13" s="34">
        <v>8.639176062938092E-2</v>
      </c>
      <c r="K13" s="34">
        <v>8.7049797775210755E-2</v>
      </c>
      <c r="L13" s="34">
        <v>7.2839329074133194E-2</v>
      </c>
      <c r="M13" s="35">
        <v>4.600588410392726E-2</v>
      </c>
      <c r="N13" s="32">
        <v>0.375</v>
      </c>
      <c r="O13" s="20">
        <f>B13*'1-Data Input'!$E$2</f>
        <v>0</v>
      </c>
      <c r="P13" s="20">
        <f>C13*'1-Data Input'!$E$3</f>
        <v>0</v>
      </c>
      <c r="Q13" s="20">
        <f>D13*'1-Data Input'!$E$4</f>
        <v>0</v>
      </c>
      <c r="R13" s="20">
        <f>E13*'1-Data Input'!$E$5</f>
        <v>0</v>
      </c>
      <c r="S13" s="20">
        <f>F13*'1-Data Input'!$E$6</f>
        <v>0</v>
      </c>
      <c r="T13" s="20">
        <f>G13*'1-Data Input'!$E$7</f>
        <v>0</v>
      </c>
      <c r="U13" s="20">
        <f>H13*'1-Data Input'!$E$8</f>
        <v>0</v>
      </c>
      <c r="V13" s="20">
        <f>I13*'1-Data Input'!$E$9</f>
        <v>0</v>
      </c>
      <c r="W13" s="20">
        <f>J13*'1-Data Input'!$E$10</f>
        <v>0</v>
      </c>
      <c r="X13" s="20">
        <f>K13*'1-Data Input'!$E$11</f>
        <v>0</v>
      </c>
      <c r="Y13" s="20">
        <f>L13*'1-Data Input'!$E$12</f>
        <v>0</v>
      </c>
      <c r="Z13" s="20">
        <f>M13*'1-Data Input'!$E$13</f>
        <v>0</v>
      </c>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row>
    <row r="14" spans="1:56" x14ac:dyDescent="0.25">
      <c r="A14" s="32">
        <v>0.41666666666666702</v>
      </c>
      <c r="B14" s="33">
        <v>0.11875714792995477</v>
      </c>
      <c r="C14" s="34">
        <v>9.3211643899761235E-2</v>
      </c>
      <c r="D14" s="34">
        <v>0.10586584536746421</v>
      </c>
      <c r="E14" s="34">
        <v>0.1083398409899977</v>
      </c>
      <c r="F14" s="34">
        <v>0.11060387399641511</v>
      </c>
      <c r="G14" s="34">
        <v>0.1035544691863293</v>
      </c>
      <c r="H14" s="34">
        <v>0.10735759042875659</v>
      </c>
      <c r="I14" s="34">
        <v>0.1050130425221293</v>
      </c>
      <c r="J14" s="34">
        <v>0.10802933063463008</v>
      </c>
      <c r="K14" s="34">
        <v>0.13277957017857792</v>
      </c>
      <c r="L14" s="34">
        <v>0.13443926119731192</v>
      </c>
      <c r="M14" s="35">
        <v>0.11370771502494723</v>
      </c>
      <c r="N14" s="32">
        <v>0.41666666666666702</v>
      </c>
      <c r="O14" s="20">
        <f>B14*'1-Data Input'!$E$2</f>
        <v>0</v>
      </c>
      <c r="P14" s="20">
        <f>C14*'1-Data Input'!$E$3</f>
        <v>0</v>
      </c>
      <c r="Q14" s="20">
        <f>D14*'1-Data Input'!$E$4</f>
        <v>0</v>
      </c>
      <c r="R14" s="20">
        <f>E14*'1-Data Input'!$E$5</f>
        <v>0</v>
      </c>
      <c r="S14" s="20">
        <f>F14*'1-Data Input'!$E$6</f>
        <v>0</v>
      </c>
      <c r="T14" s="20">
        <f>G14*'1-Data Input'!$E$7</f>
        <v>0</v>
      </c>
      <c r="U14" s="20">
        <f>H14*'1-Data Input'!$E$8</f>
        <v>0</v>
      </c>
      <c r="V14" s="20">
        <f>I14*'1-Data Input'!$E$9</f>
        <v>0</v>
      </c>
      <c r="W14" s="20">
        <f>J14*'1-Data Input'!$E$10</f>
        <v>0</v>
      </c>
      <c r="X14" s="20">
        <f>K14*'1-Data Input'!$E$11</f>
        <v>0</v>
      </c>
      <c r="Y14" s="20">
        <f>L14*'1-Data Input'!$E$12</f>
        <v>0</v>
      </c>
      <c r="Z14" s="20">
        <f>M14*'1-Data Input'!$E$13</f>
        <v>0</v>
      </c>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row>
    <row r="15" spans="1:56" x14ac:dyDescent="0.25">
      <c r="A15" s="32">
        <v>0.45833333333333298</v>
      </c>
      <c r="B15" s="33">
        <v>0.18836313590125861</v>
      </c>
      <c r="C15" s="34">
        <v>0.12008607261355794</v>
      </c>
      <c r="D15" s="34">
        <v>0.12025076967207825</v>
      </c>
      <c r="E15" s="34">
        <v>0.11877612564828427</v>
      </c>
      <c r="F15" s="34">
        <v>0.11264811397628716</v>
      </c>
      <c r="G15" s="34">
        <v>9.3992290612989818E-2</v>
      </c>
      <c r="H15" s="34">
        <v>0.10311792970207656</v>
      </c>
      <c r="I15" s="34">
        <v>0.11568575408659665</v>
      </c>
      <c r="J15" s="34">
        <v>0.12799489448350715</v>
      </c>
      <c r="K15" s="34">
        <v>0.15325270846769526</v>
      </c>
      <c r="L15" s="34">
        <v>0.16527374081430229</v>
      </c>
      <c r="M15" s="35">
        <v>0.16481104903428431</v>
      </c>
      <c r="N15" s="32">
        <v>0.45833333333333298</v>
      </c>
      <c r="O15" s="20">
        <f>B15*'1-Data Input'!$E$2</f>
        <v>0</v>
      </c>
      <c r="P15" s="20">
        <f>C15*'1-Data Input'!$E$3</f>
        <v>0</v>
      </c>
      <c r="Q15" s="20">
        <f>D15*'1-Data Input'!$E$4</f>
        <v>0</v>
      </c>
      <c r="R15" s="20">
        <f>E15*'1-Data Input'!$E$5</f>
        <v>0</v>
      </c>
      <c r="S15" s="20">
        <f>F15*'1-Data Input'!$E$6</f>
        <v>0</v>
      </c>
      <c r="T15" s="20">
        <f>G15*'1-Data Input'!$E$7</f>
        <v>0</v>
      </c>
      <c r="U15" s="20">
        <f>H15*'1-Data Input'!$E$8</f>
        <v>0</v>
      </c>
      <c r="V15" s="20">
        <f>I15*'1-Data Input'!$E$9</f>
        <v>0</v>
      </c>
      <c r="W15" s="20">
        <f>J15*'1-Data Input'!$E$10</f>
        <v>0</v>
      </c>
      <c r="X15" s="20">
        <f>K15*'1-Data Input'!$E$11</f>
        <v>0</v>
      </c>
      <c r="Y15" s="20">
        <f>L15*'1-Data Input'!$E$12</f>
        <v>0</v>
      </c>
      <c r="Z15" s="20">
        <f>M15*'1-Data Input'!$E$13</f>
        <v>0</v>
      </c>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row>
    <row r="16" spans="1:56" x14ac:dyDescent="0.25">
      <c r="A16" s="32">
        <v>0.5</v>
      </c>
      <c r="B16" s="33">
        <v>0.19319641061800613</v>
      </c>
      <c r="C16" s="34">
        <v>0.15032752539125818</v>
      </c>
      <c r="D16" s="34">
        <v>0.13728411402614404</v>
      </c>
      <c r="E16" s="34">
        <v>0.12224563684500281</v>
      </c>
      <c r="F16" s="34">
        <v>0.10973738774110306</v>
      </c>
      <c r="G16" s="34">
        <v>0.10145337835819984</v>
      </c>
      <c r="H16" s="34">
        <v>0.11249780304989698</v>
      </c>
      <c r="I16" s="34">
        <v>0.11864354689453577</v>
      </c>
      <c r="J16" s="34">
        <v>0.13768054418047909</v>
      </c>
      <c r="K16" s="34">
        <v>0.16832733565505337</v>
      </c>
      <c r="L16" s="34">
        <v>0.16623969500298957</v>
      </c>
      <c r="M16" s="35">
        <v>0.18665165967738576</v>
      </c>
      <c r="N16" s="32">
        <v>0.5</v>
      </c>
      <c r="O16" s="20">
        <f>B16*'1-Data Input'!$E$2</f>
        <v>0</v>
      </c>
      <c r="P16" s="20">
        <f>C16*'1-Data Input'!$E$3</f>
        <v>0</v>
      </c>
      <c r="Q16" s="20">
        <f>D16*'1-Data Input'!$E$4</f>
        <v>0</v>
      </c>
      <c r="R16" s="20">
        <f>E16*'1-Data Input'!$E$5</f>
        <v>0</v>
      </c>
      <c r="S16" s="20">
        <f>F16*'1-Data Input'!$E$6</f>
        <v>0</v>
      </c>
      <c r="T16" s="20">
        <f>G16*'1-Data Input'!$E$7</f>
        <v>0</v>
      </c>
      <c r="U16" s="20">
        <f>H16*'1-Data Input'!$E$8</f>
        <v>0</v>
      </c>
      <c r="V16" s="20">
        <f>I16*'1-Data Input'!$E$9</f>
        <v>0</v>
      </c>
      <c r="W16" s="20">
        <f>J16*'1-Data Input'!$E$10</f>
        <v>0</v>
      </c>
      <c r="X16" s="20">
        <f>K16*'1-Data Input'!$E$11</f>
        <v>0</v>
      </c>
      <c r="Y16" s="20">
        <f>L16*'1-Data Input'!$E$12</f>
        <v>0</v>
      </c>
      <c r="Z16" s="20">
        <f>M16*'1-Data Input'!$E$13</f>
        <v>0</v>
      </c>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row>
    <row r="17" spans="1:56" x14ac:dyDescent="0.25">
      <c r="A17" s="32">
        <v>0.54166666666666696</v>
      </c>
      <c r="B17" s="33">
        <v>0.19292013961076526</v>
      </c>
      <c r="C17" s="34">
        <v>0.17599678144328554</v>
      </c>
      <c r="D17" s="34">
        <v>0.15413758657549484</v>
      </c>
      <c r="E17" s="34">
        <v>0.12979365356874201</v>
      </c>
      <c r="F17" s="34">
        <v>0.10583021416702569</v>
      </c>
      <c r="G17" s="34">
        <v>0.10022466121974695</v>
      </c>
      <c r="H17" s="34">
        <v>0.11474482471947994</v>
      </c>
      <c r="I17" s="34">
        <v>0.11546269169217729</v>
      </c>
      <c r="J17" s="34">
        <v>0.14432087011095221</v>
      </c>
      <c r="K17" s="34">
        <v>0.15634303463105526</v>
      </c>
      <c r="L17" s="34">
        <v>0.18279464698320796</v>
      </c>
      <c r="M17" s="35">
        <v>0.22024799622051816</v>
      </c>
      <c r="N17" s="32">
        <v>0.54166666666666696</v>
      </c>
      <c r="O17" s="20">
        <f>B17*'1-Data Input'!$E$2</f>
        <v>0</v>
      </c>
      <c r="P17" s="20">
        <f>C17*'1-Data Input'!$E$3</f>
        <v>0</v>
      </c>
      <c r="Q17" s="20">
        <f>D17*'1-Data Input'!$E$4</f>
        <v>0</v>
      </c>
      <c r="R17" s="20">
        <f>E17*'1-Data Input'!$E$5</f>
        <v>0</v>
      </c>
      <c r="S17" s="20">
        <f>F17*'1-Data Input'!$E$6</f>
        <v>0</v>
      </c>
      <c r="T17" s="20">
        <f>G17*'1-Data Input'!$E$7</f>
        <v>0</v>
      </c>
      <c r="U17" s="20">
        <f>H17*'1-Data Input'!$E$8</f>
        <v>0</v>
      </c>
      <c r="V17" s="20">
        <f>I17*'1-Data Input'!$E$9</f>
        <v>0</v>
      </c>
      <c r="W17" s="20">
        <f>J17*'1-Data Input'!$E$10</f>
        <v>0</v>
      </c>
      <c r="X17" s="20">
        <f>K17*'1-Data Input'!$E$11</f>
        <v>0</v>
      </c>
      <c r="Y17" s="20">
        <f>L17*'1-Data Input'!$E$12</f>
        <v>0</v>
      </c>
      <c r="Z17" s="20">
        <f>M17*'1-Data Input'!$E$13</f>
        <v>0</v>
      </c>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row>
    <row r="18" spans="1:56" x14ac:dyDescent="0.25">
      <c r="A18" s="32">
        <v>0.58333333333333304</v>
      </c>
      <c r="B18" s="33">
        <v>0.17063362736267143</v>
      </c>
      <c r="C18" s="34">
        <v>0.1880256492648964</v>
      </c>
      <c r="D18" s="34">
        <v>0.14083147716737812</v>
      </c>
      <c r="E18" s="34">
        <v>0.12211344852574998</v>
      </c>
      <c r="F18" s="34">
        <v>0.10096307778212525</v>
      </c>
      <c r="G18" s="34">
        <v>0.10112497803003624</v>
      </c>
      <c r="H18" s="34">
        <v>0.1028179544286187</v>
      </c>
      <c r="I18" s="34">
        <v>0.10787115662078678</v>
      </c>
      <c r="J18" s="34">
        <v>0.13254997661141929</v>
      </c>
      <c r="K18" s="34">
        <v>0.1286159487558719</v>
      </c>
      <c r="L18" s="34">
        <v>0.14891270359071151</v>
      </c>
      <c r="M18" s="35">
        <v>0.1813145362299978</v>
      </c>
      <c r="N18" s="32">
        <v>0.58333333333333304</v>
      </c>
      <c r="O18" s="20">
        <f>B18*'1-Data Input'!$E$2</f>
        <v>0</v>
      </c>
      <c r="P18" s="20">
        <f>C18*'1-Data Input'!$E$3</f>
        <v>0</v>
      </c>
      <c r="Q18" s="20">
        <f>D18*'1-Data Input'!$E$4</f>
        <v>0</v>
      </c>
      <c r="R18" s="20">
        <f>E18*'1-Data Input'!$E$5</f>
        <v>0</v>
      </c>
      <c r="S18" s="20">
        <f>F18*'1-Data Input'!$E$6</f>
        <v>0</v>
      </c>
      <c r="T18" s="20">
        <f>G18*'1-Data Input'!$E$7</f>
        <v>0</v>
      </c>
      <c r="U18" s="20">
        <f>H18*'1-Data Input'!$E$8</f>
        <v>0</v>
      </c>
      <c r="V18" s="20">
        <f>I18*'1-Data Input'!$E$9</f>
        <v>0</v>
      </c>
      <c r="W18" s="20">
        <f>J18*'1-Data Input'!$E$10</f>
        <v>0</v>
      </c>
      <c r="X18" s="20">
        <f>K18*'1-Data Input'!$E$11</f>
        <v>0</v>
      </c>
      <c r="Y18" s="20">
        <f>L18*'1-Data Input'!$E$12</f>
        <v>0</v>
      </c>
      <c r="Z18" s="20">
        <f>M18*'1-Data Input'!$E$13</f>
        <v>0</v>
      </c>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row>
    <row r="19" spans="1:56" x14ac:dyDescent="0.25">
      <c r="A19" s="32">
        <v>0.625</v>
      </c>
      <c r="B19" s="33">
        <v>0.10016734002311009</v>
      </c>
      <c r="C19" s="34">
        <v>0.14237260931513263</v>
      </c>
      <c r="D19" s="34">
        <v>0.10886859033959817</v>
      </c>
      <c r="E19" s="34">
        <v>9.9176918231113423E-2</v>
      </c>
      <c r="F19" s="34">
        <v>9.0436479463056232E-2</v>
      </c>
      <c r="G19" s="34">
        <v>9.4617066527929283E-2</v>
      </c>
      <c r="H19" s="34">
        <v>8.9637644489052232E-2</v>
      </c>
      <c r="I19" s="34">
        <v>9.1658442946885535E-2</v>
      </c>
      <c r="J19" s="34">
        <v>9.5941577008865089E-2</v>
      </c>
      <c r="K19" s="34">
        <v>9.3335141191375801E-2</v>
      </c>
      <c r="L19" s="34">
        <v>8.7334178439325005E-2</v>
      </c>
      <c r="M19" s="35">
        <v>7.2839435249418716E-2</v>
      </c>
      <c r="N19" s="32">
        <v>0.625</v>
      </c>
      <c r="O19" s="20">
        <f>B19*'1-Data Input'!$E$2</f>
        <v>0</v>
      </c>
      <c r="P19" s="20">
        <f>C19*'1-Data Input'!$E$3</f>
        <v>0</v>
      </c>
      <c r="Q19" s="20">
        <f>D19*'1-Data Input'!$E$4</f>
        <v>0</v>
      </c>
      <c r="R19" s="20">
        <f>E19*'1-Data Input'!$E$5</f>
        <v>0</v>
      </c>
      <c r="S19" s="20">
        <f>F19*'1-Data Input'!$E$6</f>
        <v>0</v>
      </c>
      <c r="T19" s="20">
        <f>G19*'1-Data Input'!$E$7</f>
        <v>0</v>
      </c>
      <c r="U19" s="20">
        <f>H19*'1-Data Input'!$E$8</f>
        <v>0</v>
      </c>
      <c r="V19" s="20">
        <f>I19*'1-Data Input'!$E$9</f>
        <v>0</v>
      </c>
      <c r="W19" s="20">
        <f>J19*'1-Data Input'!$E$10</f>
        <v>0</v>
      </c>
      <c r="X19" s="20">
        <f>K19*'1-Data Input'!$E$11</f>
        <v>0</v>
      </c>
      <c r="Y19" s="20">
        <f>L19*'1-Data Input'!$E$12</f>
        <v>0</v>
      </c>
      <c r="Z19" s="20">
        <f>M19*'1-Data Input'!$E$13</f>
        <v>0</v>
      </c>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row>
    <row r="20" spans="1:56" x14ac:dyDescent="0.25">
      <c r="A20" s="32">
        <v>0.66666666666666696</v>
      </c>
      <c r="B20" s="33">
        <v>1.3359176616101988E-2</v>
      </c>
      <c r="C20" s="34">
        <v>6.6497348756261856E-2</v>
      </c>
      <c r="D20" s="34">
        <v>7.8859297572259207E-2</v>
      </c>
      <c r="E20" s="34">
        <v>6.8865200743513919E-2</v>
      </c>
      <c r="F20" s="34">
        <v>6.9853749083480646E-2</v>
      </c>
      <c r="G20" s="34">
        <v>7.7164856815027688E-2</v>
      </c>
      <c r="H20" s="34">
        <v>7.1668132173514393E-2</v>
      </c>
      <c r="I20" s="34">
        <v>7.3026918999305732E-2</v>
      </c>
      <c r="J20" s="34">
        <v>6.4787930679514466E-2</v>
      </c>
      <c r="K20" s="34">
        <v>3.7478474975261147E-2</v>
      </c>
      <c r="L20" s="34">
        <v>2.1171806098732138E-2</v>
      </c>
      <c r="M20" s="35">
        <v>8.0765657732159296E-3</v>
      </c>
      <c r="N20" s="32">
        <v>0.66666666666666696</v>
      </c>
      <c r="O20" s="20">
        <f>B20*'1-Data Input'!$E$2</f>
        <v>0</v>
      </c>
      <c r="P20" s="20">
        <f>C20*'1-Data Input'!$E$3</f>
        <v>0</v>
      </c>
      <c r="Q20" s="20">
        <f>D20*'1-Data Input'!$E$4</f>
        <v>0</v>
      </c>
      <c r="R20" s="20">
        <f>E20*'1-Data Input'!$E$5</f>
        <v>0</v>
      </c>
      <c r="S20" s="20">
        <f>F20*'1-Data Input'!$E$6</f>
        <v>0</v>
      </c>
      <c r="T20" s="20">
        <f>G20*'1-Data Input'!$E$7</f>
        <v>0</v>
      </c>
      <c r="U20" s="20">
        <f>H20*'1-Data Input'!$E$8</f>
        <v>0</v>
      </c>
      <c r="V20" s="20">
        <f>I20*'1-Data Input'!$E$9</f>
        <v>0</v>
      </c>
      <c r="W20" s="20">
        <f>J20*'1-Data Input'!$E$10</f>
        <v>0</v>
      </c>
      <c r="X20" s="20">
        <f>K20*'1-Data Input'!$E$11</f>
        <v>0</v>
      </c>
      <c r="Y20" s="20">
        <f>L20*'1-Data Input'!$E$12</f>
        <v>0</v>
      </c>
      <c r="Z20" s="20">
        <f>M20*'1-Data Input'!$E$13</f>
        <v>0</v>
      </c>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row>
    <row r="21" spans="1:56" x14ac:dyDescent="0.25">
      <c r="A21" s="32">
        <v>0.70833333333333304</v>
      </c>
      <c r="B21" s="33">
        <v>0</v>
      </c>
      <c r="C21" s="34">
        <v>8.847095768928722E-3</v>
      </c>
      <c r="D21" s="34">
        <v>3.2381286256768581E-2</v>
      </c>
      <c r="E21" s="34">
        <v>3.7999276435278111E-2</v>
      </c>
      <c r="F21" s="34">
        <v>4.7731940201612325E-2</v>
      </c>
      <c r="G21" s="34">
        <v>5.4504376906632068E-2</v>
      </c>
      <c r="H21" s="34">
        <v>4.9559055693272673E-2</v>
      </c>
      <c r="I21" s="34">
        <v>4.8128480396952604E-2</v>
      </c>
      <c r="J21" s="34">
        <v>3.0399513342050023E-2</v>
      </c>
      <c r="K21" s="34">
        <v>3.1725298910065623E-3</v>
      </c>
      <c r="L21" s="34">
        <v>1.1838036139414081E-3</v>
      </c>
      <c r="M21" s="35">
        <v>0</v>
      </c>
      <c r="N21" s="32">
        <v>0.70833333333333304</v>
      </c>
      <c r="O21" s="20">
        <f>B21*'1-Data Input'!$E$2</f>
        <v>0</v>
      </c>
      <c r="P21" s="20">
        <f>C21*'1-Data Input'!$E$3</f>
        <v>0</v>
      </c>
      <c r="Q21" s="20">
        <f>D21*'1-Data Input'!$E$4</f>
        <v>0</v>
      </c>
      <c r="R21" s="20">
        <f>E21*'1-Data Input'!$E$5</f>
        <v>0</v>
      </c>
      <c r="S21" s="20">
        <f>F21*'1-Data Input'!$E$6</f>
        <v>0</v>
      </c>
      <c r="T21" s="20">
        <f>G21*'1-Data Input'!$E$7</f>
        <v>0</v>
      </c>
      <c r="U21" s="20">
        <f>H21*'1-Data Input'!$E$8</f>
        <v>0</v>
      </c>
      <c r="V21" s="20">
        <f>I21*'1-Data Input'!$E$9</f>
        <v>0</v>
      </c>
      <c r="W21" s="20">
        <f>J21*'1-Data Input'!$E$10</f>
        <v>0</v>
      </c>
      <c r="X21" s="20">
        <f>K21*'1-Data Input'!$E$11</f>
        <v>0</v>
      </c>
      <c r="Y21" s="20">
        <f>L21*'1-Data Input'!$E$12</f>
        <v>0</v>
      </c>
      <c r="Z21" s="20">
        <f>M21*'1-Data Input'!$E$13</f>
        <v>0</v>
      </c>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row>
    <row r="22" spans="1:56" x14ac:dyDescent="0.25">
      <c r="A22" s="32">
        <v>0.75</v>
      </c>
      <c r="B22" s="33">
        <v>0</v>
      </c>
      <c r="C22" s="34">
        <v>0</v>
      </c>
      <c r="D22" s="34">
        <v>2.4223732278026346E-3</v>
      </c>
      <c r="E22" s="34">
        <v>1.0397960557331089E-2</v>
      </c>
      <c r="F22" s="34">
        <v>2.3425442887619295E-2</v>
      </c>
      <c r="G22" s="34">
        <v>2.9780956716911486E-2</v>
      </c>
      <c r="H22" s="34">
        <v>2.8063671500320814E-2</v>
      </c>
      <c r="I22" s="34">
        <v>2.198805168584287E-2</v>
      </c>
      <c r="J22" s="34">
        <v>3.316108653070931E-3</v>
      </c>
      <c r="K22" s="34">
        <v>0</v>
      </c>
      <c r="L22" s="34">
        <v>0</v>
      </c>
      <c r="M22" s="35">
        <v>0</v>
      </c>
      <c r="N22" s="32">
        <v>0.75</v>
      </c>
      <c r="O22" s="20">
        <f>B22*'1-Data Input'!$E$2</f>
        <v>0</v>
      </c>
      <c r="P22" s="20">
        <f>C22*'1-Data Input'!$E$3</f>
        <v>0</v>
      </c>
      <c r="Q22" s="20">
        <f>D22*'1-Data Input'!$E$4</f>
        <v>0</v>
      </c>
      <c r="R22" s="20">
        <f>E22*'1-Data Input'!$E$5</f>
        <v>0</v>
      </c>
      <c r="S22" s="20">
        <f>F22*'1-Data Input'!$E$6</f>
        <v>0</v>
      </c>
      <c r="T22" s="20">
        <f>G22*'1-Data Input'!$E$7</f>
        <v>0</v>
      </c>
      <c r="U22" s="20">
        <f>H22*'1-Data Input'!$E$8</f>
        <v>0</v>
      </c>
      <c r="V22" s="20">
        <f>I22*'1-Data Input'!$E$9</f>
        <v>0</v>
      </c>
      <c r="W22" s="20">
        <f>J22*'1-Data Input'!$E$10</f>
        <v>0</v>
      </c>
      <c r="X22" s="20">
        <f>K22*'1-Data Input'!$E$11</f>
        <v>0</v>
      </c>
      <c r="Y22" s="20">
        <f>L22*'1-Data Input'!$E$12</f>
        <v>0</v>
      </c>
      <c r="Z22" s="20">
        <f>M22*'1-Data Input'!$E$13</f>
        <v>0</v>
      </c>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row>
    <row r="23" spans="1:56" x14ac:dyDescent="0.25">
      <c r="A23" s="32">
        <v>0.79166666666666696</v>
      </c>
      <c r="B23" s="33">
        <v>0</v>
      </c>
      <c r="C23" s="34">
        <v>0</v>
      </c>
      <c r="D23" s="34">
        <v>0</v>
      </c>
      <c r="E23" s="34">
        <v>4.9367993303758226E-5</v>
      </c>
      <c r="F23" s="34">
        <v>4.7197006011514076E-3</v>
      </c>
      <c r="G23" s="34">
        <v>1.1365637876319903E-2</v>
      </c>
      <c r="H23" s="34">
        <v>8.6667190289713893E-3</v>
      </c>
      <c r="I23" s="34">
        <v>3.1736427855304857E-3</v>
      </c>
      <c r="J23" s="34">
        <v>0</v>
      </c>
      <c r="K23" s="34">
        <v>0</v>
      </c>
      <c r="L23" s="34">
        <v>0</v>
      </c>
      <c r="M23" s="35">
        <v>0</v>
      </c>
      <c r="N23" s="32">
        <v>0.79166666666666696</v>
      </c>
      <c r="O23" s="20">
        <f>B23*'1-Data Input'!$E$2</f>
        <v>0</v>
      </c>
      <c r="P23" s="20">
        <f>C23*'1-Data Input'!$E$3</f>
        <v>0</v>
      </c>
      <c r="Q23" s="20">
        <f>D23*'1-Data Input'!$E$4</f>
        <v>0</v>
      </c>
      <c r="R23" s="20">
        <f>E23*'1-Data Input'!$E$5</f>
        <v>0</v>
      </c>
      <c r="S23" s="20">
        <f>F23*'1-Data Input'!$E$6</f>
        <v>0</v>
      </c>
      <c r="T23" s="20">
        <f>G23*'1-Data Input'!$E$7</f>
        <v>0</v>
      </c>
      <c r="U23" s="20">
        <f>H23*'1-Data Input'!$E$8</f>
        <v>0</v>
      </c>
      <c r="V23" s="20">
        <f>I23*'1-Data Input'!$E$9</f>
        <v>0</v>
      </c>
      <c r="W23" s="20">
        <f>J23*'1-Data Input'!$E$10</f>
        <v>0</v>
      </c>
      <c r="X23" s="20">
        <f>K23*'1-Data Input'!$E$11</f>
        <v>0</v>
      </c>
      <c r="Y23" s="20">
        <f>L23*'1-Data Input'!$E$12</f>
        <v>0</v>
      </c>
      <c r="Z23" s="20">
        <f>M23*'1-Data Input'!$E$13</f>
        <v>0</v>
      </c>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row>
    <row r="24" spans="1:56" x14ac:dyDescent="0.25">
      <c r="A24" s="32">
        <v>0.83333333333333304</v>
      </c>
      <c r="B24" s="33">
        <v>0</v>
      </c>
      <c r="C24" s="34">
        <v>0</v>
      </c>
      <c r="D24" s="34">
        <v>0</v>
      </c>
      <c r="E24" s="34">
        <v>0</v>
      </c>
      <c r="F24" s="34">
        <v>0</v>
      </c>
      <c r="G24" s="34">
        <v>5.293301163154969E-4</v>
      </c>
      <c r="H24" s="34">
        <v>2.1326470038061788E-4</v>
      </c>
      <c r="I24" s="34">
        <v>0</v>
      </c>
      <c r="J24" s="34">
        <v>0</v>
      </c>
      <c r="K24" s="34">
        <v>0</v>
      </c>
      <c r="L24" s="34">
        <v>0</v>
      </c>
      <c r="M24" s="35">
        <v>0</v>
      </c>
      <c r="N24" s="32">
        <v>0.83333333333333304</v>
      </c>
      <c r="O24" s="20">
        <f>B24*'1-Data Input'!$E$2</f>
        <v>0</v>
      </c>
      <c r="P24" s="20">
        <f>C24*'1-Data Input'!$E$3</f>
        <v>0</v>
      </c>
      <c r="Q24" s="20">
        <f>D24*'1-Data Input'!$E$4</f>
        <v>0</v>
      </c>
      <c r="R24" s="20">
        <f>E24*'1-Data Input'!$E$5</f>
        <v>0</v>
      </c>
      <c r="S24" s="20">
        <f>F24*'1-Data Input'!$E$6</f>
        <v>0</v>
      </c>
      <c r="T24" s="20">
        <f>G24*'1-Data Input'!$E$7</f>
        <v>0</v>
      </c>
      <c r="U24" s="20">
        <f>H24*'1-Data Input'!$E$8</f>
        <v>0</v>
      </c>
      <c r="V24" s="20">
        <f>I24*'1-Data Input'!$E$9</f>
        <v>0</v>
      </c>
      <c r="W24" s="20">
        <f>J24*'1-Data Input'!$E$10</f>
        <v>0</v>
      </c>
      <c r="X24" s="20">
        <f>K24*'1-Data Input'!$E$11</f>
        <v>0</v>
      </c>
      <c r="Y24" s="20">
        <f>L24*'1-Data Input'!$E$12</f>
        <v>0</v>
      </c>
      <c r="Z24" s="20">
        <f>M24*'1-Data Input'!$E$13</f>
        <v>0</v>
      </c>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row>
    <row r="25" spans="1:56" x14ac:dyDescent="0.25">
      <c r="A25" s="32">
        <v>0.875</v>
      </c>
      <c r="B25" s="33">
        <v>0</v>
      </c>
      <c r="C25" s="34">
        <v>0</v>
      </c>
      <c r="D25" s="34">
        <v>0</v>
      </c>
      <c r="E25" s="34">
        <v>0</v>
      </c>
      <c r="F25" s="34">
        <v>0</v>
      </c>
      <c r="G25" s="34">
        <v>0</v>
      </c>
      <c r="H25" s="34">
        <v>0</v>
      </c>
      <c r="I25" s="34">
        <v>0</v>
      </c>
      <c r="J25" s="34">
        <v>0</v>
      </c>
      <c r="K25" s="34">
        <v>0</v>
      </c>
      <c r="L25" s="34">
        <v>0</v>
      </c>
      <c r="M25" s="35">
        <v>0</v>
      </c>
      <c r="N25" s="32">
        <v>0.875</v>
      </c>
      <c r="O25" s="20">
        <f>B25*'1-Data Input'!$E$2</f>
        <v>0</v>
      </c>
      <c r="P25" s="20">
        <f>C25*'1-Data Input'!$E$3</f>
        <v>0</v>
      </c>
      <c r="Q25" s="20">
        <f>D25*'1-Data Input'!$E$4</f>
        <v>0</v>
      </c>
      <c r="R25" s="20">
        <f>E25*'1-Data Input'!$E$5</f>
        <v>0</v>
      </c>
      <c r="S25" s="20">
        <f>F25*'1-Data Input'!$E$6</f>
        <v>0</v>
      </c>
      <c r="T25" s="20">
        <f>G25*'1-Data Input'!$E$7</f>
        <v>0</v>
      </c>
      <c r="U25" s="20">
        <f>H25*'1-Data Input'!$E$8</f>
        <v>0</v>
      </c>
      <c r="V25" s="20">
        <f>I25*'1-Data Input'!$E$9</f>
        <v>0</v>
      </c>
      <c r="W25" s="20">
        <f>J25*'1-Data Input'!$E$10</f>
        <v>0</v>
      </c>
      <c r="X25" s="20">
        <f>K25*'1-Data Input'!$E$11</f>
        <v>0</v>
      </c>
      <c r="Y25" s="20">
        <f>L25*'1-Data Input'!$E$12</f>
        <v>0</v>
      </c>
      <c r="Z25" s="20">
        <f>M25*'1-Data Input'!$E$13</f>
        <v>0</v>
      </c>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row>
    <row r="26" spans="1:56" x14ac:dyDescent="0.25">
      <c r="A26" s="32">
        <v>0.91666666666666696</v>
      </c>
      <c r="B26" s="33">
        <v>0</v>
      </c>
      <c r="C26" s="34">
        <v>0</v>
      </c>
      <c r="D26" s="34">
        <v>0</v>
      </c>
      <c r="E26" s="34">
        <v>0</v>
      </c>
      <c r="F26" s="34">
        <v>0</v>
      </c>
      <c r="G26" s="34">
        <v>0</v>
      </c>
      <c r="H26" s="34">
        <v>0</v>
      </c>
      <c r="I26" s="34">
        <v>0</v>
      </c>
      <c r="J26" s="34">
        <v>0</v>
      </c>
      <c r="K26" s="34">
        <v>0</v>
      </c>
      <c r="L26" s="34">
        <v>0</v>
      </c>
      <c r="M26" s="35">
        <v>0</v>
      </c>
      <c r="N26" s="32">
        <v>0.91666666666666696</v>
      </c>
      <c r="O26" s="20">
        <f>B26*'1-Data Input'!$E$2</f>
        <v>0</v>
      </c>
      <c r="P26" s="20">
        <f>C26*'1-Data Input'!$E$3</f>
        <v>0</v>
      </c>
      <c r="Q26" s="20">
        <f>D26*'1-Data Input'!$E$4</f>
        <v>0</v>
      </c>
      <c r="R26" s="20">
        <f>E26*'1-Data Input'!$E$5</f>
        <v>0</v>
      </c>
      <c r="S26" s="20">
        <f>F26*'1-Data Input'!$E$6</f>
        <v>0</v>
      </c>
      <c r="T26" s="20">
        <f>G26*'1-Data Input'!$E$7</f>
        <v>0</v>
      </c>
      <c r="U26" s="20">
        <f>H26*'1-Data Input'!$E$8</f>
        <v>0</v>
      </c>
      <c r="V26" s="20">
        <f>I26*'1-Data Input'!$E$9</f>
        <v>0</v>
      </c>
      <c r="W26" s="20">
        <f>J26*'1-Data Input'!$E$10</f>
        <v>0</v>
      </c>
      <c r="X26" s="20">
        <f>K26*'1-Data Input'!$E$11</f>
        <v>0</v>
      </c>
      <c r="Y26" s="20">
        <f>L26*'1-Data Input'!$E$12</f>
        <v>0</v>
      </c>
      <c r="Z26" s="20">
        <f>M26*'1-Data Input'!$E$13</f>
        <v>0</v>
      </c>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row>
    <row r="27" spans="1:56" ht="15.75" thickBot="1" x14ac:dyDescent="0.3">
      <c r="A27" s="32">
        <v>0.95833333333333304</v>
      </c>
      <c r="B27" s="36">
        <v>0</v>
      </c>
      <c r="C27" s="37">
        <v>0</v>
      </c>
      <c r="D27" s="37">
        <v>0</v>
      </c>
      <c r="E27" s="37">
        <v>0</v>
      </c>
      <c r="F27" s="37">
        <v>0</v>
      </c>
      <c r="G27" s="37">
        <v>0</v>
      </c>
      <c r="H27" s="37">
        <v>0</v>
      </c>
      <c r="I27" s="37">
        <v>0</v>
      </c>
      <c r="J27" s="37">
        <v>0</v>
      </c>
      <c r="K27" s="37">
        <v>0</v>
      </c>
      <c r="L27" s="37">
        <v>0</v>
      </c>
      <c r="M27" s="38">
        <v>0</v>
      </c>
      <c r="N27" s="39">
        <v>0.95833333333333304</v>
      </c>
      <c r="O27" s="20">
        <f>B27*'1-Data Input'!$E$2</f>
        <v>0</v>
      </c>
      <c r="P27" s="20">
        <f>C27*'1-Data Input'!$E$3</f>
        <v>0</v>
      </c>
      <c r="Q27" s="20">
        <f>D27*'1-Data Input'!$E$4</f>
        <v>0</v>
      </c>
      <c r="R27" s="20">
        <f>E27*'1-Data Input'!$E$5</f>
        <v>0</v>
      </c>
      <c r="S27" s="20">
        <f>F27*'1-Data Input'!$E$6</f>
        <v>0</v>
      </c>
      <c r="T27" s="20">
        <f>G27*'1-Data Input'!$E$7</f>
        <v>0</v>
      </c>
      <c r="U27" s="20">
        <f>H27*'1-Data Input'!$E$8</f>
        <v>0</v>
      </c>
      <c r="V27" s="20">
        <f>I27*'1-Data Input'!$E$9</f>
        <v>0</v>
      </c>
      <c r="W27" s="20">
        <f>J27*'1-Data Input'!$E$10</f>
        <v>0</v>
      </c>
      <c r="X27" s="20">
        <f>K27*'1-Data Input'!$E$11</f>
        <v>0</v>
      </c>
      <c r="Y27" s="20">
        <f>L27*'1-Data Input'!$E$12</f>
        <v>0</v>
      </c>
      <c r="Z27" s="20">
        <f>M27*'1-Data Input'!$E$13</f>
        <v>0</v>
      </c>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row>
    <row r="28" spans="1:56" ht="26.25" x14ac:dyDescent="0.25">
      <c r="A28" s="73" t="s">
        <v>34</v>
      </c>
      <c r="B28" s="73"/>
      <c r="C28" s="73"/>
      <c r="D28" s="73"/>
      <c r="E28" s="73"/>
      <c r="F28" s="73"/>
      <c r="G28" s="71" t="s">
        <v>55</v>
      </c>
      <c r="H28" s="71"/>
      <c r="I28" s="71"/>
      <c r="J28" s="71"/>
      <c r="K28" s="71"/>
      <c r="L28" s="71"/>
      <c r="M28" s="71"/>
      <c r="N28" s="71"/>
      <c r="O28" s="71"/>
      <c r="P28" s="71"/>
      <c r="Q28" s="71"/>
      <c r="R28" s="71"/>
      <c r="S28" s="71"/>
      <c r="T28" s="71"/>
      <c r="U28" s="71"/>
      <c r="V28" s="71"/>
      <c r="W28" s="71"/>
      <c r="X28" s="71"/>
      <c r="Y28" s="71"/>
      <c r="Z28" s="72"/>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row>
    <row r="29" spans="1:56" ht="33.75" x14ac:dyDescent="0.5">
      <c r="A29" s="67" t="s">
        <v>35</v>
      </c>
      <c r="B29" s="67"/>
      <c r="C29" s="67"/>
      <c r="D29" s="67"/>
      <c r="E29" s="67"/>
      <c r="F29" s="67"/>
      <c r="G29" s="67"/>
      <c r="H29" s="67"/>
      <c r="I29" s="67"/>
      <c r="J29" s="67"/>
      <c r="K29" s="67"/>
      <c r="L29" s="67"/>
      <c r="M29" s="68"/>
      <c r="N29" s="69" t="s">
        <v>36</v>
      </c>
      <c r="O29" s="69"/>
      <c r="P29" s="69"/>
      <c r="Q29" s="69"/>
      <c r="R29" s="69"/>
      <c r="S29" s="69"/>
      <c r="T29" s="69"/>
      <c r="U29" s="69"/>
      <c r="V29" s="69"/>
      <c r="W29" s="69"/>
      <c r="X29" s="69"/>
      <c r="Y29" s="69"/>
      <c r="Z29" s="69"/>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row>
    <row r="30" spans="1:56" ht="46.5" x14ac:dyDescent="0.25">
      <c r="A30" s="28" t="s">
        <v>30</v>
      </c>
      <c r="B30" s="29" t="s">
        <v>16</v>
      </c>
      <c r="C30" s="29" t="s">
        <v>17</v>
      </c>
      <c r="D30" s="29" t="s">
        <v>18</v>
      </c>
      <c r="E30" s="29" t="s">
        <v>19</v>
      </c>
      <c r="F30" s="29" t="s">
        <v>4</v>
      </c>
      <c r="G30" s="29" t="s">
        <v>20</v>
      </c>
      <c r="H30" s="29" t="s">
        <v>21</v>
      </c>
      <c r="I30" s="29" t="s">
        <v>22</v>
      </c>
      <c r="J30" s="29" t="s">
        <v>23</v>
      </c>
      <c r="K30" s="29" t="s">
        <v>24</v>
      </c>
      <c r="L30" s="29" t="s">
        <v>25</v>
      </c>
      <c r="M30" s="30" t="s">
        <v>26</v>
      </c>
      <c r="N30" s="40" t="s">
        <v>30</v>
      </c>
      <c r="O30" s="40" t="s">
        <v>16</v>
      </c>
      <c r="P30" s="40" t="s">
        <v>17</v>
      </c>
      <c r="Q30" s="40" t="s">
        <v>18</v>
      </c>
      <c r="R30" s="40" t="s">
        <v>19</v>
      </c>
      <c r="S30" s="40" t="s">
        <v>4</v>
      </c>
      <c r="T30" s="40" t="s">
        <v>20</v>
      </c>
      <c r="U30" s="40" t="s">
        <v>21</v>
      </c>
      <c r="V30" s="40" t="s">
        <v>22</v>
      </c>
      <c r="W30" s="40" t="s">
        <v>23</v>
      </c>
      <c r="X30" s="40" t="s">
        <v>24</v>
      </c>
      <c r="Y30" s="40" t="s">
        <v>25</v>
      </c>
      <c r="Z30" s="40" t="s">
        <v>26</v>
      </c>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row>
    <row r="31" spans="1:56" x14ac:dyDescent="0.25">
      <c r="A31" s="32">
        <v>0</v>
      </c>
      <c r="B31" s="33">
        <v>0</v>
      </c>
      <c r="C31" s="34">
        <v>0</v>
      </c>
      <c r="D31" s="34">
        <v>0</v>
      </c>
      <c r="E31" s="34">
        <v>0</v>
      </c>
      <c r="F31" s="34">
        <v>0</v>
      </c>
      <c r="G31" s="34">
        <v>0</v>
      </c>
      <c r="H31" s="34">
        <v>0</v>
      </c>
      <c r="I31" s="34">
        <v>0</v>
      </c>
      <c r="J31" s="34">
        <v>0</v>
      </c>
      <c r="K31" s="34">
        <v>0</v>
      </c>
      <c r="L31" s="34">
        <v>0</v>
      </c>
      <c r="M31" s="35">
        <v>0</v>
      </c>
      <c r="N31" s="32">
        <v>0</v>
      </c>
      <c r="O31" s="41">
        <f>B31*'1-Data Input'!$D$2</f>
        <v>0</v>
      </c>
      <c r="P31" s="41">
        <f>C31*'1-Data Input'!$D$3</f>
        <v>0</v>
      </c>
      <c r="Q31" s="41">
        <f>D31*'1-Data Input'!$D$4</f>
        <v>0</v>
      </c>
      <c r="R31" s="41">
        <f>E31*'1-Data Input'!$D$5</f>
        <v>0</v>
      </c>
      <c r="S31" s="41">
        <f>F31*'1-Data Input'!$D$6</f>
        <v>0</v>
      </c>
      <c r="T31" s="41">
        <f>G31*'1-Data Input'!$D$7</f>
        <v>0</v>
      </c>
      <c r="U31" s="41">
        <f>H31*'1-Data Input'!$D$8</f>
        <v>0</v>
      </c>
      <c r="V31" s="41">
        <f>I31*'1-Data Input'!$D$9</f>
        <v>0</v>
      </c>
      <c r="W31" s="41">
        <f>J31*'1-Data Input'!$D$10</f>
        <v>0</v>
      </c>
      <c r="X31" s="41">
        <f>K31*'1-Data Input'!$D$11</f>
        <v>0</v>
      </c>
      <c r="Y31" s="41">
        <f>L31*'1-Data Input'!$D$12</f>
        <v>0</v>
      </c>
      <c r="Z31" s="41">
        <f>M31*'1-Data Input'!$D$13</f>
        <v>0</v>
      </c>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row>
    <row r="32" spans="1:56" x14ac:dyDescent="0.25">
      <c r="A32" s="32">
        <v>4.1666666666666699E-2</v>
      </c>
      <c r="B32" s="33">
        <v>0</v>
      </c>
      <c r="C32" s="34">
        <v>0</v>
      </c>
      <c r="D32" s="34">
        <v>0</v>
      </c>
      <c r="E32" s="34">
        <v>0</v>
      </c>
      <c r="F32" s="34">
        <v>0</v>
      </c>
      <c r="G32" s="34">
        <v>0</v>
      </c>
      <c r="H32" s="34">
        <v>0</v>
      </c>
      <c r="I32" s="34">
        <v>0</v>
      </c>
      <c r="J32" s="34">
        <v>0</v>
      </c>
      <c r="K32" s="34">
        <v>0</v>
      </c>
      <c r="L32" s="34">
        <v>0</v>
      </c>
      <c r="M32" s="35">
        <v>0</v>
      </c>
      <c r="N32" s="32">
        <v>4.1666666666666699E-2</v>
      </c>
      <c r="O32" s="20">
        <f>B32*'1-Data Input'!$D$2</f>
        <v>0</v>
      </c>
      <c r="P32" s="20">
        <f>C32*'1-Data Input'!$D$3</f>
        <v>0</v>
      </c>
      <c r="Q32" s="20">
        <f>D32*'1-Data Input'!$D$4</f>
        <v>0</v>
      </c>
      <c r="R32" s="20">
        <f>E32*'1-Data Input'!$D$5</f>
        <v>0</v>
      </c>
      <c r="S32" s="20">
        <f>F32*'1-Data Input'!$D$6</f>
        <v>0</v>
      </c>
      <c r="T32" s="20">
        <f>G32*'1-Data Input'!$D$7</f>
        <v>0</v>
      </c>
      <c r="U32" s="20">
        <f>H32*'1-Data Input'!$D$8</f>
        <v>0</v>
      </c>
      <c r="V32" s="20">
        <f>I32*'1-Data Input'!$D$9</f>
        <v>0</v>
      </c>
      <c r="W32" s="20">
        <f>J32*'1-Data Input'!$D$10</f>
        <v>0</v>
      </c>
      <c r="X32" s="20">
        <f>K32*'1-Data Input'!$D$11</f>
        <v>0</v>
      </c>
      <c r="Y32" s="20">
        <f>L32*'1-Data Input'!$D$12</f>
        <v>0</v>
      </c>
      <c r="Z32" s="21">
        <f>M32*'1-Data Input'!$D$13</f>
        <v>0</v>
      </c>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row>
    <row r="33" spans="1:56" x14ac:dyDescent="0.25">
      <c r="A33" s="32">
        <v>8.3333333333333301E-2</v>
      </c>
      <c r="B33" s="33">
        <v>0</v>
      </c>
      <c r="C33" s="34">
        <v>0</v>
      </c>
      <c r="D33" s="34">
        <v>0</v>
      </c>
      <c r="E33" s="34">
        <v>0</v>
      </c>
      <c r="F33" s="34">
        <v>0</v>
      </c>
      <c r="G33" s="34">
        <v>0</v>
      </c>
      <c r="H33" s="34">
        <v>0</v>
      </c>
      <c r="I33" s="34">
        <v>0</v>
      </c>
      <c r="J33" s="34">
        <v>0</v>
      </c>
      <c r="K33" s="34">
        <v>0</v>
      </c>
      <c r="L33" s="34">
        <v>0</v>
      </c>
      <c r="M33" s="35">
        <v>0</v>
      </c>
      <c r="N33" s="32">
        <v>8.3333333333333301E-2</v>
      </c>
      <c r="O33" s="20">
        <f>B33*'1-Data Input'!$D$2</f>
        <v>0</v>
      </c>
      <c r="P33" s="20">
        <f>C33*'1-Data Input'!$D$3</f>
        <v>0</v>
      </c>
      <c r="Q33" s="20">
        <f>D33*'1-Data Input'!$D$4</f>
        <v>0</v>
      </c>
      <c r="R33" s="20">
        <f>E33*'1-Data Input'!$D$5</f>
        <v>0</v>
      </c>
      <c r="S33" s="20">
        <f>F33*'1-Data Input'!$D$6</f>
        <v>0</v>
      </c>
      <c r="T33" s="20">
        <f>G33*'1-Data Input'!$D$7</f>
        <v>0</v>
      </c>
      <c r="U33" s="20">
        <f>H33*'1-Data Input'!$D$8</f>
        <v>0</v>
      </c>
      <c r="V33" s="20">
        <f>I33*'1-Data Input'!$D$9</f>
        <v>0</v>
      </c>
      <c r="W33" s="20">
        <f>J33*'1-Data Input'!$D$10</f>
        <v>0</v>
      </c>
      <c r="X33" s="20">
        <f>K33*'1-Data Input'!$D$11</f>
        <v>0</v>
      </c>
      <c r="Y33" s="20">
        <f>L33*'1-Data Input'!$D$12</f>
        <v>0</v>
      </c>
      <c r="Z33" s="21">
        <f>M33*'1-Data Input'!$D$13</f>
        <v>0</v>
      </c>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row>
    <row r="34" spans="1:56" x14ac:dyDescent="0.25">
      <c r="A34" s="32">
        <v>0.125</v>
      </c>
      <c r="B34" s="33">
        <v>0</v>
      </c>
      <c r="C34" s="34">
        <v>0</v>
      </c>
      <c r="D34" s="34">
        <v>0</v>
      </c>
      <c r="E34" s="34">
        <v>0</v>
      </c>
      <c r="F34" s="34">
        <v>0</v>
      </c>
      <c r="G34" s="34">
        <v>0</v>
      </c>
      <c r="H34" s="34">
        <v>0</v>
      </c>
      <c r="I34" s="34">
        <v>0</v>
      </c>
      <c r="J34" s="34">
        <v>0</v>
      </c>
      <c r="K34" s="34">
        <v>0</v>
      </c>
      <c r="L34" s="34">
        <v>0</v>
      </c>
      <c r="M34" s="35">
        <v>0</v>
      </c>
      <c r="N34" s="32">
        <v>0.125</v>
      </c>
      <c r="O34" s="20">
        <f>B34*'1-Data Input'!$D$2</f>
        <v>0</v>
      </c>
      <c r="P34" s="20">
        <f>C34*'1-Data Input'!$D$3</f>
        <v>0</v>
      </c>
      <c r="Q34" s="20">
        <f>D34*'1-Data Input'!$D$4</f>
        <v>0</v>
      </c>
      <c r="R34" s="20">
        <f>E34*'1-Data Input'!$D$5</f>
        <v>0</v>
      </c>
      <c r="S34" s="20">
        <f>F34*'1-Data Input'!$D$6</f>
        <v>0</v>
      </c>
      <c r="T34" s="20">
        <f>G34*'1-Data Input'!$D$7</f>
        <v>0</v>
      </c>
      <c r="U34" s="20">
        <f>H34*'1-Data Input'!$D$8</f>
        <v>0</v>
      </c>
      <c r="V34" s="20">
        <f>I34*'1-Data Input'!$D$9</f>
        <v>0</v>
      </c>
      <c r="W34" s="20">
        <f>J34*'1-Data Input'!$D$10</f>
        <v>0</v>
      </c>
      <c r="X34" s="20">
        <f>K34*'1-Data Input'!$D$11</f>
        <v>0</v>
      </c>
      <c r="Y34" s="20">
        <f>L34*'1-Data Input'!$D$12</f>
        <v>0</v>
      </c>
      <c r="Z34" s="21">
        <f>M34*'1-Data Input'!$D$13</f>
        <v>0</v>
      </c>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row>
    <row r="35" spans="1:56" x14ac:dyDescent="0.25">
      <c r="A35" s="32">
        <v>0.16666666666666699</v>
      </c>
      <c r="B35" s="33">
        <v>0</v>
      </c>
      <c r="C35" s="34">
        <v>0</v>
      </c>
      <c r="D35" s="34">
        <v>0</v>
      </c>
      <c r="E35" s="34">
        <v>0</v>
      </c>
      <c r="F35" s="34">
        <v>0</v>
      </c>
      <c r="G35" s="34">
        <v>0</v>
      </c>
      <c r="H35" s="34">
        <v>0</v>
      </c>
      <c r="I35" s="34">
        <v>0</v>
      </c>
      <c r="J35" s="34">
        <v>0</v>
      </c>
      <c r="K35" s="34">
        <v>0</v>
      </c>
      <c r="L35" s="34">
        <v>0</v>
      </c>
      <c r="M35" s="35">
        <v>0</v>
      </c>
      <c r="N35" s="32">
        <v>0.16666666666666699</v>
      </c>
      <c r="O35" s="20">
        <f>B35*'1-Data Input'!$D$2</f>
        <v>0</v>
      </c>
      <c r="P35" s="20">
        <f>C35*'1-Data Input'!$D$3</f>
        <v>0</v>
      </c>
      <c r="Q35" s="20">
        <f>D35*'1-Data Input'!$D$4</f>
        <v>0</v>
      </c>
      <c r="R35" s="20">
        <f>E35*'1-Data Input'!$D$5</f>
        <v>0</v>
      </c>
      <c r="S35" s="20">
        <f>F35*'1-Data Input'!$D$6</f>
        <v>0</v>
      </c>
      <c r="T35" s="20">
        <f>G35*'1-Data Input'!$D$7</f>
        <v>0</v>
      </c>
      <c r="U35" s="20">
        <f>H35*'1-Data Input'!$D$8</f>
        <v>0</v>
      </c>
      <c r="V35" s="20">
        <f>I35*'1-Data Input'!$D$9</f>
        <v>0</v>
      </c>
      <c r="W35" s="20">
        <f>J35*'1-Data Input'!$D$10</f>
        <v>0</v>
      </c>
      <c r="X35" s="20">
        <f>K35*'1-Data Input'!$D$11</f>
        <v>0</v>
      </c>
      <c r="Y35" s="20">
        <f>L35*'1-Data Input'!$D$12</f>
        <v>0</v>
      </c>
      <c r="Z35" s="21">
        <f>M35*'1-Data Input'!$D$13</f>
        <v>0</v>
      </c>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row>
    <row r="36" spans="1:56" x14ac:dyDescent="0.25">
      <c r="A36" s="32">
        <v>0.20833333333333301</v>
      </c>
      <c r="B36" s="33">
        <v>0</v>
      </c>
      <c r="C36" s="34">
        <v>0</v>
      </c>
      <c r="D36" s="34">
        <v>0</v>
      </c>
      <c r="E36" s="34">
        <v>0</v>
      </c>
      <c r="F36" s="34">
        <v>1.6694640580567559E-3</v>
      </c>
      <c r="G36" s="34">
        <v>6.6202878738384199E-3</v>
      </c>
      <c r="H36" s="34">
        <v>1.9306895124927878E-3</v>
      </c>
      <c r="I36" s="34">
        <v>0</v>
      </c>
      <c r="J36" s="34">
        <v>0</v>
      </c>
      <c r="K36" s="34">
        <v>0</v>
      </c>
      <c r="L36" s="34">
        <v>0</v>
      </c>
      <c r="M36" s="35">
        <v>0</v>
      </c>
      <c r="N36" s="32">
        <v>0.20833333333333301</v>
      </c>
      <c r="O36" s="20">
        <f>B36*'1-Data Input'!$D$2</f>
        <v>0</v>
      </c>
      <c r="P36" s="20">
        <f>C36*'1-Data Input'!$D$3</f>
        <v>0</v>
      </c>
      <c r="Q36" s="20">
        <f>D36*'1-Data Input'!$D$4</f>
        <v>0</v>
      </c>
      <c r="R36" s="20">
        <f>E36*'1-Data Input'!$D$5</f>
        <v>0</v>
      </c>
      <c r="S36" s="20">
        <f>F36*'1-Data Input'!$D$6</f>
        <v>0</v>
      </c>
      <c r="T36" s="20">
        <f>G36*'1-Data Input'!$D$7</f>
        <v>0</v>
      </c>
      <c r="U36" s="20">
        <f>H36*'1-Data Input'!$D$8</f>
        <v>0</v>
      </c>
      <c r="V36" s="20">
        <f>I36*'1-Data Input'!$D$9</f>
        <v>0</v>
      </c>
      <c r="W36" s="20">
        <f>J36*'1-Data Input'!$D$10</f>
        <v>0</v>
      </c>
      <c r="X36" s="20">
        <f>K36*'1-Data Input'!$D$11</f>
        <v>0</v>
      </c>
      <c r="Y36" s="20">
        <f>L36*'1-Data Input'!$D$12</f>
        <v>0</v>
      </c>
      <c r="Z36" s="21">
        <f>M36*'1-Data Input'!$D$13</f>
        <v>0</v>
      </c>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row>
    <row r="37" spans="1:56" x14ac:dyDescent="0.25">
      <c r="A37" s="32">
        <v>0.25</v>
      </c>
      <c r="B37" s="33">
        <v>0</v>
      </c>
      <c r="C37" s="34">
        <v>0</v>
      </c>
      <c r="D37" s="34">
        <v>0</v>
      </c>
      <c r="E37" s="34">
        <v>4.0167692000775447E-3</v>
      </c>
      <c r="F37" s="34">
        <v>1.6239159338844671E-2</v>
      </c>
      <c r="G37" s="34">
        <v>2.0198459304062624E-2</v>
      </c>
      <c r="H37" s="34">
        <v>1.5534042651493348E-2</v>
      </c>
      <c r="I37" s="34">
        <v>8.5460550299728995E-3</v>
      </c>
      <c r="J37" s="34">
        <v>6.8591950156833903E-5</v>
      </c>
      <c r="K37" s="34">
        <v>0</v>
      </c>
      <c r="L37" s="34">
        <v>0</v>
      </c>
      <c r="M37" s="35">
        <v>0</v>
      </c>
      <c r="N37" s="32">
        <v>0.25</v>
      </c>
      <c r="O37" s="20">
        <f>B37*'1-Data Input'!$D$2</f>
        <v>0</v>
      </c>
      <c r="P37" s="20">
        <f>C37*'1-Data Input'!$D$3</f>
        <v>0</v>
      </c>
      <c r="Q37" s="20">
        <f>D37*'1-Data Input'!$D$4</f>
        <v>0</v>
      </c>
      <c r="R37" s="20">
        <f>E37*'1-Data Input'!$D$5</f>
        <v>0</v>
      </c>
      <c r="S37" s="20">
        <f>F37*'1-Data Input'!$D$6</f>
        <v>0</v>
      </c>
      <c r="T37" s="20">
        <f>G37*'1-Data Input'!$D$7</f>
        <v>0</v>
      </c>
      <c r="U37" s="20">
        <f>H37*'1-Data Input'!$D$8</f>
        <v>0</v>
      </c>
      <c r="V37" s="20">
        <f>I37*'1-Data Input'!$D$9</f>
        <v>0</v>
      </c>
      <c r="W37" s="20">
        <f>J37*'1-Data Input'!$D$10</f>
        <v>0</v>
      </c>
      <c r="X37" s="20">
        <f>K37*'1-Data Input'!$D$11</f>
        <v>0</v>
      </c>
      <c r="Y37" s="20">
        <f>L37*'1-Data Input'!$D$12</f>
        <v>0</v>
      </c>
      <c r="Z37" s="21">
        <f>M37*'1-Data Input'!$D$13</f>
        <v>0</v>
      </c>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row>
    <row r="38" spans="1:56" x14ac:dyDescent="0.25">
      <c r="A38" s="32">
        <v>0.29166666666666702</v>
      </c>
      <c r="B38" s="33">
        <v>0</v>
      </c>
      <c r="C38" s="34">
        <v>0</v>
      </c>
      <c r="D38" s="34">
        <v>5.9357522844538232E-3</v>
      </c>
      <c r="E38" s="34">
        <v>2.7567730413013688E-2</v>
      </c>
      <c r="F38" s="34">
        <v>4.243639891895274E-2</v>
      </c>
      <c r="G38" s="34">
        <v>4.5794581917634608E-2</v>
      </c>
      <c r="H38" s="34">
        <v>4.0167482656000994E-2</v>
      </c>
      <c r="I38" s="34">
        <v>3.5338461569119475E-2</v>
      </c>
      <c r="J38" s="34">
        <v>1.8307960010372788E-2</v>
      </c>
      <c r="K38" s="34">
        <v>2.8633053690985777E-3</v>
      </c>
      <c r="L38" s="34">
        <v>8.9330427315130326E-4</v>
      </c>
      <c r="M38" s="35">
        <v>0</v>
      </c>
      <c r="N38" s="32">
        <v>0.29166666666666702</v>
      </c>
      <c r="O38" s="20">
        <f>B38*'1-Data Input'!$D$2</f>
        <v>0</v>
      </c>
      <c r="P38" s="20">
        <f>C38*'1-Data Input'!$D$3</f>
        <v>0</v>
      </c>
      <c r="Q38" s="20">
        <f>D38*'1-Data Input'!$D$4</f>
        <v>0</v>
      </c>
      <c r="R38" s="20">
        <f>E38*'1-Data Input'!$D$5</f>
        <v>0</v>
      </c>
      <c r="S38" s="20">
        <f>F38*'1-Data Input'!$D$6</f>
        <v>0</v>
      </c>
      <c r="T38" s="20">
        <f>G38*'1-Data Input'!$D$7</f>
        <v>0</v>
      </c>
      <c r="U38" s="20">
        <f>H38*'1-Data Input'!$D$8</f>
        <v>0</v>
      </c>
      <c r="V38" s="20">
        <f>I38*'1-Data Input'!$D$9</f>
        <v>0</v>
      </c>
      <c r="W38" s="20">
        <f>J38*'1-Data Input'!$D$10</f>
        <v>0</v>
      </c>
      <c r="X38" s="20">
        <f>K38*'1-Data Input'!$D$11</f>
        <v>0</v>
      </c>
      <c r="Y38" s="20">
        <f>L38*'1-Data Input'!$D$12</f>
        <v>0</v>
      </c>
      <c r="Z38" s="21">
        <f>M38*'1-Data Input'!$D$13</f>
        <v>0</v>
      </c>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row>
    <row r="39" spans="1:56" x14ac:dyDescent="0.25">
      <c r="A39" s="32">
        <v>0.33333333333333298</v>
      </c>
      <c r="B39" s="33">
        <v>0</v>
      </c>
      <c r="C39" s="34">
        <v>5.4723382891230937E-3</v>
      </c>
      <c r="D39" s="34">
        <v>3.6925595528140377E-2</v>
      </c>
      <c r="E39" s="34">
        <v>5.9886226972899838E-2</v>
      </c>
      <c r="F39" s="34">
        <v>7.1021361330620342E-2</v>
      </c>
      <c r="G39" s="34">
        <v>6.970554975586897E-2</v>
      </c>
      <c r="H39" s="34">
        <v>6.4916539644942942E-2</v>
      </c>
      <c r="I39" s="34">
        <v>6.4866110846268824E-2</v>
      </c>
      <c r="J39" s="34">
        <v>5.0210941705601045E-2</v>
      </c>
      <c r="K39" s="34">
        <v>3.6782153109793533E-2</v>
      </c>
      <c r="L39" s="34">
        <v>1.8917530912193514E-2</v>
      </c>
      <c r="M39" s="35">
        <v>6.3451586863049157E-3</v>
      </c>
      <c r="N39" s="32">
        <v>0.33333333333333298</v>
      </c>
      <c r="O39" s="20">
        <f>B39*'1-Data Input'!$D$2</f>
        <v>0</v>
      </c>
      <c r="P39" s="20">
        <f>C39*'1-Data Input'!$D$3</f>
        <v>0</v>
      </c>
      <c r="Q39" s="20">
        <f>D39*'1-Data Input'!$D$4</f>
        <v>0</v>
      </c>
      <c r="R39" s="20">
        <f>E39*'1-Data Input'!$D$5</f>
        <v>0</v>
      </c>
      <c r="S39" s="20">
        <f>F39*'1-Data Input'!$D$6</f>
        <v>0</v>
      </c>
      <c r="T39" s="20">
        <f>G39*'1-Data Input'!$D$7</f>
        <v>0</v>
      </c>
      <c r="U39" s="20">
        <f>H39*'1-Data Input'!$D$8</f>
        <v>0</v>
      </c>
      <c r="V39" s="20">
        <f>I39*'1-Data Input'!$D$9</f>
        <v>0</v>
      </c>
      <c r="W39" s="20">
        <f>J39*'1-Data Input'!$D$10</f>
        <v>0</v>
      </c>
      <c r="X39" s="20">
        <f>K39*'1-Data Input'!$D$11</f>
        <v>0</v>
      </c>
      <c r="Y39" s="20">
        <f>L39*'1-Data Input'!$D$12</f>
        <v>0</v>
      </c>
      <c r="Z39" s="21">
        <f>M39*'1-Data Input'!$D$13</f>
        <v>0</v>
      </c>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row>
    <row r="40" spans="1:56" x14ac:dyDescent="0.25">
      <c r="A40" s="32">
        <v>0.375</v>
      </c>
      <c r="B40" s="33">
        <v>2.2603021938131643E-2</v>
      </c>
      <c r="C40" s="34">
        <v>4.9162935257794367E-2</v>
      </c>
      <c r="D40" s="34">
        <v>7.6237311982417746E-2</v>
      </c>
      <c r="E40" s="34">
        <v>9.0771843875691663E-2</v>
      </c>
      <c r="F40" s="34">
        <v>9.2683636453649354E-2</v>
      </c>
      <c r="G40" s="34">
        <v>8.9369118782157295E-2</v>
      </c>
      <c r="H40" s="34">
        <v>8.9106655620728933E-2</v>
      </c>
      <c r="I40" s="34">
        <v>9.0597643923895702E-2</v>
      </c>
      <c r="J40" s="34">
        <v>8.639176062938092E-2</v>
      </c>
      <c r="K40" s="34">
        <v>8.7049797775210755E-2</v>
      </c>
      <c r="L40" s="34">
        <v>7.2839329074133194E-2</v>
      </c>
      <c r="M40" s="35">
        <v>4.600588410392726E-2</v>
      </c>
      <c r="N40" s="32">
        <v>0.375</v>
      </c>
      <c r="O40" s="20">
        <f>B40*'1-Data Input'!$D$2</f>
        <v>0</v>
      </c>
      <c r="P40" s="20">
        <f>C40*'1-Data Input'!$D$3</f>
        <v>0</v>
      </c>
      <c r="Q40" s="20">
        <f>D40*'1-Data Input'!$D$4</f>
        <v>0</v>
      </c>
      <c r="R40" s="20">
        <f>E40*'1-Data Input'!$D$5</f>
        <v>0</v>
      </c>
      <c r="S40" s="20">
        <f>F40*'1-Data Input'!$D$6</f>
        <v>0</v>
      </c>
      <c r="T40" s="20">
        <f>G40*'1-Data Input'!$D$7</f>
        <v>0</v>
      </c>
      <c r="U40" s="20">
        <f>H40*'1-Data Input'!$D$8</f>
        <v>0</v>
      </c>
      <c r="V40" s="20">
        <f>I40*'1-Data Input'!$D$9</f>
        <v>0</v>
      </c>
      <c r="W40" s="20">
        <f>J40*'1-Data Input'!$D$10</f>
        <v>0</v>
      </c>
      <c r="X40" s="20">
        <f>K40*'1-Data Input'!$D$11</f>
        <v>0</v>
      </c>
      <c r="Y40" s="20">
        <f>L40*'1-Data Input'!$D$12</f>
        <v>0</v>
      </c>
      <c r="Z40" s="21">
        <f>M40*'1-Data Input'!$D$13</f>
        <v>0</v>
      </c>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row>
    <row r="41" spans="1:56" x14ac:dyDescent="0.25">
      <c r="A41" s="32">
        <v>0.41666666666666702</v>
      </c>
      <c r="B41" s="33">
        <v>0.11875714792995477</v>
      </c>
      <c r="C41" s="34">
        <v>9.3211643899761235E-2</v>
      </c>
      <c r="D41" s="34">
        <v>0.10586584536746421</v>
      </c>
      <c r="E41" s="34">
        <v>0.1083398409899977</v>
      </c>
      <c r="F41" s="34">
        <v>0.11060387399641511</v>
      </c>
      <c r="G41" s="34">
        <v>0.1035544691863293</v>
      </c>
      <c r="H41" s="34">
        <v>0.10735759042875659</v>
      </c>
      <c r="I41" s="34">
        <v>0.1050130425221293</v>
      </c>
      <c r="J41" s="34">
        <v>0.10802933063463008</v>
      </c>
      <c r="K41" s="34">
        <v>0.13277957017857792</v>
      </c>
      <c r="L41" s="34">
        <v>0.13443926119731192</v>
      </c>
      <c r="M41" s="35">
        <v>0.11370771502494723</v>
      </c>
      <c r="N41" s="32">
        <v>0.41666666666666702</v>
      </c>
      <c r="O41" s="20">
        <f>B41*'1-Data Input'!$D$2</f>
        <v>0</v>
      </c>
      <c r="P41" s="20">
        <f>C41*'1-Data Input'!$D$3</f>
        <v>0</v>
      </c>
      <c r="Q41" s="20">
        <f>D41*'1-Data Input'!$D$4</f>
        <v>0</v>
      </c>
      <c r="R41" s="20">
        <f>E41*'1-Data Input'!$D$5</f>
        <v>0</v>
      </c>
      <c r="S41" s="20">
        <f>F41*'1-Data Input'!$D$6</f>
        <v>0</v>
      </c>
      <c r="T41" s="20">
        <f>G41*'1-Data Input'!$D$7</f>
        <v>0</v>
      </c>
      <c r="U41" s="20">
        <f>H41*'1-Data Input'!$D$8</f>
        <v>0</v>
      </c>
      <c r="V41" s="20">
        <f>I41*'1-Data Input'!$D$9</f>
        <v>0</v>
      </c>
      <c r="W41" s="20">
        <f>J41*'1-Data Input'!$D$10</f>
        <v>0</v>
      </c>
      <c r="X41" s="20">
        <f>K41*'1-Data Input'!$D$11</f>
        <v>0</v>
      </c>
      <c r="Y41" s="20">
        <f>L41*'1-Data Input'!$D$12</f>
        <v>0</v>
      </c>
      <c r="Z41" s="21">
        <f>M41*'1-Data Input'!$D$13</f>
        <v>0</v>
      </c>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row>
    <row r="42" spans="1:56" x14ac:dyDescent="0.25">
      <c r="A42" s="32">
        <v>0.45833333333333298</v>
      </c>
      <c r="B42" s="33">
        <v>0.18836313590125861</v>
      </c>
      <c r="C42" s="34">
        <v>0.12008607261355794</v>
      </c>
      <c r="D42" s="34">
        <v>0.12025076967207825</v>
      </c>
      <c r="E42" s="34">
        <v>0.11877612564828427</v>
      </c>
      <c r="F42" s="34">
        <v>0.11264811397628716</v>
      </c>
      <c r="G42" s="34">
        <v>9.3992290612989818E-2</v>
      </c>
      <c r="H42" s="34">
        <v>0.10311792970207656</v>
      </c>
      <c r="I42" s="34">
        <v>0.11568575408659665</v>
      </c>
      <c r="J42" s="34">
        <v>0.12799489448350715</v>
      </c>
      <c r="K42" s="34">
        <v>0.15325270846769526</v>
      </c>
      <c r="L42" s="34">
        <v>0.16527374081430229</v>
      </c>
      <c r="M42" s="35">
        <v>0.16481104903428431</v>
      </c>
      <c r="N42" s="32">
        <v>0.45833333333333298</v>
      </c>
      <c r="O42" s="20">
        <f>B42*'1-Data Input'!$D$2</f>
        <v>0</v>
      </c>
      <c r="P42" s="20">
        <f>C42*'1-Data Input'!$D$3</f>
        <v>0</v>
      </c>
      <c r="Q42" s="20">
        <f>D42*'1-Data Input'!$D$4</f>
        <v>0</v>
      </c>
      <c r="R42" s="20">
        <f>E42*'1-Data Input'!$D$5</f>
        <v>0</v>
      </c>
      <c r="S42" s="20">
        <f>F42*'1-Data Input'!$D$6</f>
        <v>0</v>
      </c>
      <c r="T42" s="20">
        <f>G42*'1-Data Input'!$D$7</f>
        <v>0</v>
      </c>
      <c r="U42" s="20">
        <f>H42*'1-Data Input'!$D$8</f>
        <v>0</v>
      </c>
      <c r="V42" s="20">
        <f>I42*'1-Data Input'!$D$9</f>
        <v>0</v>
      </c>
      <c r="W42" s="20">
        <f>J42*'1-Data Input'!$D$10</f>
        <v>0</v>
      </c>
      <c r="X42" s="20">
        <f>K42*'1-Data Input'!$D$11</f>
        <v>0</v>
      </c>
      <c r="Y42" s="20">
        <f>L42*'1-Data Input'!$D$12</f>
        <v>0</v>
      </c>
      <c r="Z42" s="21">
        <f>M42*'1-Data Input'!$D$13</f>
        <v>0</v>
      </c>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row>
    <row r="43" spans="1:56" x14ac:dyDescent="0.25">
      <c r="A43" s="32">
        <v>0.5</v>
      </c>
      <c r="B43" s="33">
        <v>0.19319641061800613</v>
      </c>
      <c r="C43" s="34">
        <v>0.15032752539125818</v>
      </c>
      <c r="D43" s="34">
        <v>0.13728411402614404</v>
      </c>
      <c r="E43" s="34">
        <v>0.12224563684500281</v>
      </c>
      <c r="F43" s="34">
        <v>0.10973738774110306</v>
      </c>
      <c r="G43" s="34">
        <v>0.10145337835819984</v>
      </c>
      <c r="H43" s="34">
        <v>0.11249780304989698</v>
      </c>
      <c r="I43" s="34">
        <v>0.11864354689453577</v>
      </c>
      <c r="J43" s="34">
        <v>0.13768054418047909</v>
      </c>
      <c r="K43" s="34">
        <v>0.16832733565505337</v>
      </c>
      <c r="L43" s="34">
        <v>0.16623969500298957</v>
      </c>
      <c r="M43" s="35">
        <v>0.18665165967738576</v>
      </c>
      <c r="N43" s="32">
        <v>0.5</v>
      </c>
      <c r="O43" s="20">
        <f>B43*'1-Data Input'!$D$2</f>
        <v>0</v>
      </c>
      <c r="P43" s="20">
        <f>C43*'1-Data Input'!$D$3</f>
        <v>0</v>
      </c>
      <c r="Q43" s="20">
        <f>D43*'1-Data Input'!$D$4</f>
        <v>0</v>
      </c>
      <c r="R43" s="20">
        <f>E43*'1-Data Input'!$D$5</f>
        <v>0</v>
      </c>
      <c r="S43" s="20">
        <f>F43*'1-Data Input'!$D$6</f>
        <v>0</v>
      </c>
      <c r="T43" s="20">
        <f>G43*'1-Data Input'!$D$7</f>
        <v>0</v>
      </c>
      <c r="U43" s="20">
        <f>H43*'1-Data Input'!$D$8</f>
        <v>0</v>
      </c>
      <c r="V43" s="20">
        <f>I43*'1-Data Input'!$D$9</f>
        <v>0</v>
      </c>
      <c r="W43" s="20">
        <f>J43*'1-Data Input'!$D$10</f>
        <v>0</v>
      </c>
      <c r="X43" s="20">
        <f>K43*'1-Data Input'!$D$11</f>
        <v>0</v>
      </c>
      <c r="Y43" s="20">
        <f>L43*'1-Data Input'!$D$12</f>
        <v>0</v>
      </c>
      <c r="Z43" s="21">
        <f>M43*'1-Data Input'!$D$13</f>
        <v>0</v>
      </c>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row>
    <row r="44" spans="1:56" x14ac:dyDescent="0.25">
      <c r="A44" s="32">
        <v>0.54166666666666696</v>
      </c>
      <c r="B44" s="33">
        <v>0.19292013961076526</v>
      </c>
      <c r="C44" s="34">
        <v>0.17599678144328554</v>
      </c>
      <c r="D44" s="34">
        <v>0.15413758657549484</v>
      </c>
      <c r="E44" s="34">
        <v>0.12979365356874201</v>
      </c>
      <c r="F44" s="34">
        <v>0.10583021416702569</v>
      </c>
      <c r="G44" s="34">
        <v>0.10022466121974695</v>
      </c>
      <c r="H44" s="34">
        <v>0.11474482471947994</v>
      </c>
      <c r="I44" s="34">
        <v>0.11546269169217729</v>
      </c>
      <c r="J44" s="34">
        <v>0.14432087011095221</v>
      </c>
      <c r="K44" s="34">
        <v>0.15634303463105526</v>
      </c>
      <c r="L44" s="34">
        <v>0.18279464698320796</v>
      </c>
      <c r="M44" s="35">
        <v>0.22024799622051816</v>
      </c>
      <c r="N44" s="32">
        <v>0.54166666666666696</v>
      </c>
      <c r="O44" s="20">
        <f>B44*'1-Data Input'!$D$2</f>
        <v>0</v>
      </c>
      <c r="P44" s="20">
        <f>C44*'1-Data Input'!$D$3</f>
        <v>0</v>
      </c>
      <c r="Q44" s="20">
        <f>D44*'1-Data Input'!$D$4</f>
        <v>0</v>
      </c>
      <c r="R44" s="20">
        <f>E44*'1-Data Input'!$D$5</f>
        <v>0</v>
      </c>
      <c r="S44" s="20">
        <f>F44*'1-Data Input'!$D$6</f>
        <v>0</v>
      </c>
      <c r="T44" s="20">
        <f>G44*'1-Data Input'!$D$7</f>
        <v>0</v>
      </c>
      <c r="U44" s="20">
        <f>H44*'1-Data Input'!$D$8</f>
        <v>0</v>
      </c>
      <c r="V44" s="20">
        <f>I44*'1-Data Input'!$D$9</f>
        <v>0</v>
      </c>
      <c r="W44" s="20">
        <f>J44*'1-Data Input'!$D$10</f>
        <v>0</v>
      </c>
      <c r="X44" s="20">
        <f>K44*'1-Data Input'!$D$11</f>
        <v>0</v>
      </c>
      <c r="Y44" s="20">
        <f>L44*'1-Data Input'!$D$12</f>
        <v>0</v>
      </c>
      <c r="Z44" s="21">
        <f>M44*'1-Data Input'!$D$13</f>
        <v>0</v>
      </c>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row>
    <row r="45" spans="1:56" x14ac:dyDescent="0.25">
      <c r="A45" s="32">
        <v>0.58333333333333304</v>
      </c>
      <c r="B45" s="33">
        <v>0.17063362736267143</v>
      </c>
      <c r="C45" s="34">
        <v>0.1880256492648964</v>
      </c>
      <c r="D45" s="34">
        <v>0.14083147716737812</v>
      </c>
      <c r="E45" s="34">
        <v>0.12211344852574998</v>
      </c>
      <c r="F45" s="34">
        <v>0.10096307778212525</v>
      </c>
      <c r="G45" s="34">
        <v>0.10112497803003624</v>
      </c>
      <c r="H45" s="34">
        <v>0.1028179544286187</v>
      </c>
      <c r="I45" s="34">
        <v>0.10787115662078678</v>
      </c>
      <c r="J45" s="34">
        <v>0.13254997661141929</v>
      </c>
      <c r="K45" s="34">
        <v>0.1286159487558719</v>
      </c>
      <c r="L45" s="34">
        <v>0.14891270359071151</v>
      </c>
      <c r="M45" s="35">
        <v>0.1813145362299978</v>
      </c>
      <c r="N45" s="32">
        <v>0.58333333333333304</v>
      </c>
      <c r="O45" s="20">
        <f>B45*'1-Data Input'!$D$2</f>
        <v>0</v>
      </c>
      <c r="P45" s="20">
        <f>C45*'1-Data Input'!$D$3</f>
        <v>0</v>
      </c>
      <c r="Q45" s="20">
        <f>D45*'1-Data Input'!$D$4</f>
        <v>0</v>
      </c>
      <c r="R45" s="20">
        <f>E45*'1-Data Input'!$D$5</f>
        <v>0</v>
      </c>
      <c r="S45" s="20">
        <f>F45*'1-Data Input'!$D$6</f>
        <v>0</v>
      </c>
      <c r="T45" s="20">
        <f>G45*'1-Data Input'!$D$7</f>
        <v>0</v>
      </c>
      <c r="U45" s="20">
        <f>H45*'1-Data Input'!$D$8</f>
        <v>0</v>
      </c>
      <c r="V45" s="20">
        <f>I45*'1-Data Input'!$D$9</f>
        <v>0</v>
      </c>
      <c r="W45" s="20">
        <f>J45*'1-Data Input'!$D$10</f>
        <v>0</v>
      </c>
      <c r="X45" s="20">
        <f>K45*'1-Data Input'!$D$11</f>
        <v>0</v>
      </c>
      <c r="Y45" s="20">
        <f>L45*'1-Data Input'!$D$12</f>
        <v>0</v>
      </c>
      <c r="Z45" s="21">
        <f>M45*'1-Data Input'!$D$13</f>
        <v>0</v>
      </c>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row>
    <row r="46" spans="1:56" x14ac:dyDescent="0.25">
      <c r="A46" s="32">
        <v>0.625</v>
      </c>
      <c r="B46" s="33">
        <v>0.10016734002311009</v>
      </c>
      <c r="C46" s="34">
        <v>0.14237260931513263</v>
      </c>
      <c r="D46" s="34">
        <v>0.10886859033959817</v>
      </c>
      <c r="E46" s="34">
        <v>9.9176918231113423E-2</v>
      </c>
      <c r="F46" s="34">
        <v>9.0436479463056232E-2</v>
      </c>
      <c r="G46" s="34">
        <v>9.4617066527929283E-2</v>
      </c>
      <c r="H46" s="34">
        <v>8.9637644489052232E-2</v>
      </c>
      <c r="I46" s="34">
        <v>9.1658442946885535E-2</v>
      </c>
      <c r="J46" s="34">
        <v>9.5941577008865089E-2</v>
      </c>
      <c r="K46" s="34">
        <v>9.3335141191375801E-2</v>
      </c>
      <c r="L46" s="34">
        <v>8.7334178439325005E-2</v>
      </c>
      <c r="M46" s="35">
        <v>7.2839435249418716E-2</v>
      </c>
      <c r="N46" s="32">
        <v>0.625</v>
      </c>
      <c r="O46" s="20">
        <f>B46*'1-Data Input'!$D$2</f>
        <v>0</v>
      </c>
      <c r="P46" s="20">
        <f>C46*'1-Data Input'!$D$3</f>
        <v>0</v>
      </c>
      <c r="Q46" s="20">
        <f>D46*'1-Data Input'!$D$4</f>
        <v>0</v>
      </c>
      <c r="R46" s="20">
        <f>E46*'1-Data Input'!$D$5</f>
        <v>0</v>
      </c>
      <c r="S46" s="20">
        <f>F46*'1-Data Input'!$D$6</f>
        <v>0</v>
      </c>
      <c r="T46" s="20">
        <f>G46*'1-Data Input'!$D$7</f>
        <v>0</v>
      </c>
      <c r="U46" s="20">
        <f>H46*'1-Data Input'!$D$8</f>
        <v>0</v>
      </c>
      <c r="V46" s="20">
        <f>I46*'1-Data Input'!$D$9</f>
        <v>0</v>
      </c>
      <c r="W46" s="20">
        <f>J46*'1-Data Input'!$D$10</f>
        <v>0</v>
      </c>
      <c r="X46" s="20">
        <f>K46*'1-Data Input'!$D$11</f>
        <v>0</v>
      </c>
      <c r="Y46" s="20">
        <f>L46*'1-Data Input'!$D$12</f>
        <v>0</v>
      </c>
      <c r="Z46" s="21">
        <f>M46*'1-Data Input'!$D$13</f>
        <v>0</v>
      </c>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row>
    <row r="47" spans="1:56" x14ac:dyDescent="0.25">
      <c r="A47" s="32">
        <v>0.66666666666666696</v>
      </c>
      <c r="B47" s="33">
        <v>1.3359176616101988E-2</v>
      </c>
      <c r="C47" s="34">
        <v>6.6497348756261856E-2</v>
      </c>
      <c r="D47" s="34">
        <v>7.8859297572259207E-2</v>
      </c>
      <c r="E47" s="34">
        <v>6.8865200743513919E-2</v>
      </c>
      <c r="F47" s="34">
        <v>6.9853749083480646E-2</v>
      </c>
      <c r="G47" s="34">
        <v>7.7164856815027688E-2</v>
      </c>
      <c r="H47" s="34">
        <v>7.1668132173514393E-2</v>
      </c>
      <c r="I47" s="34">
        <v>7.3026918999305732E-2</v>
      </c>
      <c r="J47" s="34">
        <v>6.4787930679514466E-2</v>
      </c>
      <c r="K47" s="34">
        <v>3.7478474975261147E-2</v>
      </c>
      <c r="L47" s="34">
        <v>2.1171806098732138E-2</v>
      </c>
      <c r="M47" s="35">
        <v>8.0765657732159296E-3</v>
      </c>
      <c r="N47" s="32">
        <v>0.66666666666666696</v>
      </c>
      <c r="O47" s="20">
        <f>B47*'1-Data Input'!$D$2</f>
        <v>0</v>
      </c>
      <c r="P47" s="20">
        <f>C47*'1-Data Input'!$D$3</f>
        <v>0</v>
      </c>
      <c r="Q47" s="20">
        <f>D47*'1-Data Input'!$D$4</f>
        <v>0</v>
      </c>
      <c r="R47" s="20">
        <f>E47*'1-Data Input'!$D$5</f>
        <v>0</v>
      </c>
      <c r="S47" s="20">
        <f>F47*'1-Data Input'!$D$6</f>
        <v>0</v>
      </c>
      <c r="T47" s="20">
        <f>G47*'1-Data Input'!$D$7</f>
        <v>0</v>
      </c>
      <c r="U47" s="20">
        <f>H47*'1-Data Input'!$D$8</f>
        <v>0</v>
      </c>
      <c r="V47" s="20">
        <f>I47*'1-Data Input'!$D$9</f>
        <v>0</v>
      </c>
      <c r="W47" s="20">
        <f>J47*'1-Data Input'!$D$10</f>
        <v>0</v>
      </c>
      <c r="X47" s="20">
        <f>K47*'1-Data Input'!$D$11</f>
        <v>0</v>
      </c>
      <c r="Y47" s="20">
        <f>L47*'1-Data Input'!$D$12</f>
        <v>0</v>
      </c>
      <c r="Z47" s="21">
        <f>M47*'1-Data Input'!$D$13</f>
        <v>0</v>
      </c>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row>
    <row r="48" spans="1:56" x14ac:dyDescent="0.25">
      <c r="A48" s="32">
        <v>0.70833333333333304</v>
      </c>
      <c r="B48" s="33">
        <v>0</v>
      </c>
      <c r="C48" s="34">
        <v>8.847095768928722E-3</v>
      </c>
      <c r="D48" s="34">
        <v>3.2381286256768581E-2</v>
      </c>
      <c r="E48" s="34">
        <v>3.7999276435278111E-2</v>
      </c>
      <c r="F48" s="34">
        <v>4.7731940201612325E-2</v>
      </c>
      <c r="G48" s="34">
        <v>5.4504376906632068E-2</v>
      </c>
      <c r="H48" s="34">
        <v>4.9559055693272673E-2</v>
      </c>
      <c r="I48" s="34">
        <v>4.8128480396952604E-2</v>
      </c>
      <c r="J48" s="34">
        <v>3.0399513342050023E-2</v>
      </c>
      <c r="K48" s="34">
        <v>3.1725298910065623E-3</v>
      </c>
      <c r="L48" s="34">
        <v>1.1838036139414081E-3</v>
      </c>
      <c r="M48" s="35">
        <v>0</v>
      </c>
      <c r="N48" s="32">
        <v>0.70833333333333304</v>
      </c>
      <c r="O48" s="20">
        <f>B48*'1-Data Input'!$D$2</f>
        <v>0</v>
      </c>
      <c r="P48" s="20">
        <f>C48*'1-Data Input'!$D$3</f>
        <v>0</v>
      </c>
      <c r="Q48" s="20">
        <f>D48*'1-Data Input'!$D$4</f>
        <v>0</v>
      </c>
      <c r="R48" s="20">
        <f>E48*'1-Data Input'!$D$5</f>
        <v>0</v>
      </c>
      <c r="S48" s="20">
        <f>F48*'1-Data Input'!$D$6</f>
        <v>0</v>
      </c>
      <c r="T48" s="20">
        <f>G48*'1-Data Input'!$D$7</f>
        <v>0</v>
      </c>
      <c r="U48" s="20">
        <f>H48*'1-Data Input'!$D$8</f>
        <v>0</v>
      </c>
      <c r="V48" s="20">
        <f>I48*'1-Data Input'!$D$9</f>
        <v>0</v>
      </c>
      <c r="W48" s="20">
        <f>J48*'1-Data Input'!$D$10</f>
        <v>0</v>
      </c>
      <c r="X48" s="20">
        <f>K48*'1-Data Input'!$D$11</f>
        <v>0</v>
      </c>
      <c r="Y48" s="20">
        <f>L48*'1-Data Input'!$D$12</f>
        <v>0</v>
      </c>
      <c r="Z48" s="21">
        <f>M48*'1-Data Input'!$D$13</f>
        <v>0</v>
      </c>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row>
    <row r="49" spans="1:56" x14ac:dyDescent="0.25">
      <c r="A49" s="32">
        <v>0.75</v>
      </c>
      <c r="B49" s="33">
        <v>0</v>
      </c>
      <c r="C49" s="34">
        <v>0</v>
      </c>
      <c r="D49" s="34">
        <v>2.4223732278026346E-3</v>
      </c>
      <c r="E49" s="34">
        <v>1.0397960557331089E-2</v>
      </c>
      <c r="F49" s="34">
        <v>2.3425442887619295E-2</v>
      </c>
      <c r="G49" s="34">
        <v>2.9780956716911486E-2</v>
      </c>
      <c r="H49" s="34">
        <v>2.8063671500320814E-2</v>
      </c>
      <c r="I49" s="34">
        <v>2.198805168584287E-2</v>
      </c>
      <c r="J49" s="34">
        <v>3.316108653070931E-3</v>
      </c>
      <c r="K49" s="34">
        <v>0</v>
      </c>
      <c r="L49" s="34">
        <v>0</v>
      </c>
      <c r="M49" s="35">
        <v>0</v>
      </c>
      <c r="N49" s="32">
        <v>0.75</v>
      </c>
      <c r="O49" s="20">
        <f>B49*'1-Data Input'!$D$2</f>
        <v>0</v>
      </c>
      <c r="P49" s="20">
        <f>C49*'1-Data Input'!$D$3</f>
        <v>0</v>
      </c>
      <c r="Q49" s="20">
        <f>D49*'1-Data Input'!$D$4</f>
        <v>0</v>
      </c>
      <c r="R49" s="20">
        <f>E49*'1-Data Input'!$D$5</f>
        <v>0</v>
      </c>
      <c r="S49" s="20">
        <f>F49*'1-Data Input'!$D$6</f>
        <v>0</v>
      </c>
      <c r="T49" s="20">
        <f>G49*'1-Data Input'!$D$7</f>
        <v>0</v>
      </c>
      <c r="U49" s="20">
        <f>H49*'1-Data Input'!$D$8</f>
        <v>0</v>
      </c>
      <c r="V49" s="20">
        <f>I49*'1-Data Input'!$D$9</f>
        <v>0</v>
      </c>
      <c r="W49" s="20">
        <f>J49*'1-Data Input'!$D$10</f>
        <v>0</v>
      </c>
      <c r="X49" s="20">
        <f>K49*'1-Data Input'!$D$11</f>
        <v>0</v>
      </c>
      <c r="Y49" s="20">
        <f>L49*'1-Data Input'!$D$12</f>
        <v>0</v>
      </c>
      <c r="Z49" s="21">
        <f>M49*'1-Data Input'!$D$13</f>
        <v>0</v>
      </c>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row>
    <row r="50" spans="1:56" x14ac:dyDescent="0.25">
      <c r="A50" s="32">
        <v>0.79166666666666696</v>
      </c>
      <c r="B50" s="33">
        <v>0</v>
      </c>
      <c r="C50" s="34">
        <v>0</v>
      </c>
      <c r="D50" s="34">
        <v>0</v>
      </c>
      <c r="E50" s="34">
        <v>4.9367993303758226E-5</v>
      </c>
      <c r="F50" s="34">
        <v>4.7197006011514076E-3</v>
      </c>
      <c r="G50" s="34">
        <v>1.1365637876319903E-2</v>
      </c>
      <c r="H50" s="34">
        <v>8.6667190289713893E-3</v>
      </c>
      <c r="I50" s="34">
        <v>3.1736427855304857E-3</v>
      </c>
      <c r="J50" s="34">
        <v>0</v>
      </c>
      <c r="K50" s="34">
        <v>0</v>
      </c>
      <c r="L50" s="34">
        <v>0</v>
      </c>
      <c r="M50" s="35">
        <v>0</v>
      </c>
      <c r="N50" s="32">
        <v>0.79166666666666696</v>
      </c>
      <c r="O50" s="20">
        <f>B50*'1-Data Input'!$D$2</f>
        <v>0</v>
      </c>
      <c r="P50" s="20">
        <f>C50*'1-Data Input'!$D$3</f>
        <v>0</v>
      </c>
      <c r="Q50" s="20">
        <f>D50*'1-Data Input'!$D$4</f>
        <v>0</v>
      </c>
      <c r="R50" s="20">
        <f>E50*'1-Data Input'!$D$5</f>
        <v>0</v>
      </c>
      <c r="S50" s="20">
        <f>F50*'1-Data Input'!$D$6</f>
        <v>0</v>
      </c>
      <c r="T50" s="20">
        <f>G50*'1-Data Input'!$D$7</f>
        <v>0</v>
      </c>
      <c r="U50" s="20">
        <f>H50*'1-Data Input'!$D$8</f>
        <v>0</v>
      </c>
      <c r="V50" s="20">
        <f>I50*'1-Data Input'!$D$9</f>
        <v>0</v>
      </c>
      <c r="W50" s="20">
        <f>J50*'1-Data Input'!$D$10</f>
        <v>0</v>
      </c>
      <c r="X50" s="20">
        <f>K50*'1-Data Input'!$D$11</f>
        <v>0</v>
      </c>
      <c r="Y50" s="20">
        <f>L50*'1-Data Input'!$D$12</f>
        <v>0</v>
      </c>
      <c r="Z50" s="21">
        <f>M50*'1-Data Input'!$D$13</f>
        <v>0</v>
      </c>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row>
    <row r="51" spans="1:56" x14ac:dyDescent="0.25">
      <c r="A51" s="32">
        <v>0.83333333333333304</v>
      </c>
      <c r="B51" s="33">
        <v>0</v>
      </c>
      <c r="C51" s="34">
        <v>0</v>
      </c>
      <c r="D51" s="34">
        <v>0</v>
      </c>
      <c r="E51" s="34">
        <v>0</v>
      </c>
      <c r="F51" s="34">
        <v>0</v>
      </c>
      <c r="G51" s="34">
        <v>5.293301163154969E-4</v>
      </c>
      <c r="H51" s="34">
        <v>2.1326470038061788E-4</v>
      </c>
      <c r="I51" s="34">
        <v>0</v>
      </c>
      <c r="J51" s="34">
        <v>0</v>
      </c>
      <c r="K51" s="34">
        <v>0</v>
      </c>
      <c r="L51" s="34">
        <v>0</v>
      </c>
      <c r="M51" s="35">
        <v>0</v>
      </c>
      <c r="N51" s="32">
        <v>0.83333333333333304</v>
      </c>
      <c r="O51" s="20">
        <f>B51*'1-Data Input'!$D$2</f>
        <v>0</v>
      </c>
      <c r="P51" s="20">
        <f>C51*'1-Data Input'!$D$3</f>
        <v>0</v>
      </c>
      <c r="Q51" s="20">
        <f>D51*'1-Data Input'!$D$4</f>
        <v>0</v>
      </c>
      <c r="R51" s="20">
        <f>E51*'1-Data Input'!$D$5</f>
        <v>0</v>
      </c>
      <c r="S51" s="20">
        <f>F51*'1-Data Input'!$D$6</f>
        <v>0</v>
      </c>
      <c r="T51" s="20">
        <f>G51*'1-Data Input'!$D$7</f>
        <v>0</v>
      </c>
      <c r="U51" s="20">
        <f>H51*'1-Data Input'!$D$8</f>
        <v>0</v>
      </c>
      <c r="V51" s="20">
        <f>I51*'1-Data Input'!$D$9</f>
        <v>0</v>
      </c>
      <c r="W51" s="20">
        <f>J51*'1-Data Input'!$D$10</f>
        <v>0</v>
      </c>
      <c r="X51" s="20">
        <f>K51*'1-Data Input'!$D$11</f>
        <v>0</v>
      </c>
      <c r="Y51" s="20">
        <f>L51*'1-Data Input'!$D$12</f>
        <v>0</v>
      </c>
      <c r="Z51" s="21">
        <f>M51*'1-Data Input'!$D$13</f>
        <v>0</v>
      </c>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row>
    <row r="52" spans="1:56" x14ac:dyDescent="0.25">
      <c r="A52" s="32">
        <v>0.875</v>
      </c>
      <c r="B52" s="33">
        <v>0</v>
      </c>
      <c r="C52" s="34">
        <v>0</v>
      </c>
      <c r="D52" s="34">
        <v>0</v>
      </c>
      <c r="E52" s="34">
        <v>0</v>
      </c>
      <c r="F52" s="34">
        <v>0</v>
      </c>
      <c r="G52" s="34">
        <v>0</v>
      </c>
      <c r="H52" s="34">
        <v>0</v>
      </c>
      <c r="I52" s="34">
        <v>0</v>
      </c>
      <c r="J52" s="34">
        <v>0</v>
      </c>
      <c r="K52" s="34">
        <v>0</v>
      </c>
      <c r="L52" s="34">
        <v>0</v>
      </c>
      <c r="M52" s="35">
        <v>0</v>
      </c>
      <c r="N52" s="32">
        <v>0.875</v>
      </c>
      <c r="O52" s="20">
        <f>B52*'1-Data Input'!$D$2</f>
        <v>0</v>
      </c>
      <c r="P52" s="20">
        <f>C52*'1-Data Input'!$D$3</f>
        <v>0</v>
      </c>
      <c r="Q52" s="20">
        <f>D52*'1-Data Input'!$D$4</f>
        <v>0</v>
      </c>
      <c r="R52" s="20">
        <f>E52*'1-Data Input'!$D$5</f>
        <v>0</v>
      </c>
      <c r="S52" s="20">
        <f>F52*'1-Data Input'!$D$6</f>
        <v>0</v>
      </c>
      <c r="T52" s="20">
        <f>G52*'1-Data Input'!$D$7</f>
        <v>0</v>
      </c>
      <c r="U52" s="20">
        <f>H52*'1-Data Input'!$D$8</f>
        <v>0</v>
      </c>
      <c r="V52" s="20">
        <f>I52*'1-Data Input'!$D$9</f>
        <v>0</v>
      </c>
      <c r="W52" s="20">
        <f>J52*'1-Data Input'!$D$10</f>
        <v>0</v>
      </c>
      <c r="X52" s="20">
        <f>K52*'1-Data Input'!$D$11</f>
        <v>0</v>
      </c>
      <c r="Y52" s="20">
        <f>L52*'1-Data Input'!$D$12</f>
        <v>0</v>
      </c>
      <c r="Z52" s="21">
        <f>M52*'1-Data Input'!$D$13</f>
        <v>0</v>
      </c>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row>
    <row r="53" spans="1:56" x14ac:dyDescent="0.25">
      <c r="A53" s="32">
        <v>0.91666666666666696</v>
      </c>
      <c r="B53" s="33">
        <v>0</v>
      </c>
      <c r="C53" s="34">
        <v>0</v>
      </c>
      <c r="D53" s="34">
        <v>0</v>
      </c>
      <c r="E53" s="34">
        <v>0</v>
      </c>
      <c r="F53" s="34">
        <v>0</v>
      </c>
      <c r="G53" s="34">
        <v>0</v>
      </c>
      <c r="H53" s="34">
        <v>0</v>
      </c>
      <c r="I53" s="34">
        <v>0</v>
      </c>
      <c r="J53" s="34">
        <v>0</v>
      </c>
      <c r="K53" s="34">
        <v>0</v>
      </c>
      <c r="L53" s="34">
        <v>0</v>
      </c>
      <c r="M53" s="35">
        <v>0</v>
      </c>
      <c r="N53" s="32">
        <v>0.91666666666666696</v>
      </c>
      <c r="O53" s="20">
        <f>B53*'1-Data Input'!$D$2</f>
        <v>0</v>
      </c>
      <c r="P53" s="20">
        <f>C53*'1-Data Input'!$D$3</f>
        <v>0</v>
      </c>
      <c r="Q53" s="20">
        <f>D53*'1-Data Input'!$D$4</f>
        <v>0</v>
      </c>
      <c r="R53" s="20">
        <f>E53*'1-Data Input'!$D$5</f>
        <v>0</v>
      </c>
      <c r="S53" s="20">
        <f>F53*'1-Data Input'!$D$6</f>
        <v>0</v>
      </c>
      <c r="T53" s="20">
        <f>G53*'1-Data Input'!$D$7</f>
        <v>0</v>
      </c>
      <c r="U53" s="20">
        <f>H53*'1-Data Input'!$D$8</f>
        <v>0</v>
      </c>
      <c r="V53" s="20">
        <f>I53*'1-Data Input'!$D$9</f>
        <v>0</v>
      </c>
      <c r="W53" s="20">
        <f>J53*'1-Data Input'!$D$10</f>
        <v>0</v>
      </c>
      <c r="X53" s="20">
        <f>K53*'1-Data Input'!$D$11</f>
        <v>0</v>
      </c>
      <c r="Y53" s="20">
        <f>L53*'1-Data Input'!$D$12</f>
        <v>0</v>
      </c>
      <c r="Z53" s="21">
        <f>M53*'1-Data Input'!$D$13</f>
        <v>0</v>
      </c>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row>
    <row r="54" spans="1:56" ht="15.75" thickBot="1" x14ac:dyDescent="0.3">
      <c r="A54" s="32">
        <v>0.95833333333333304</v>
      </c>
      <c r="B54" s="36">
        <v>0</v>
      </c>
      <c r="C54" s="37">
        <v>0</v>
      </c>
      <c r="D54" s="37">
        <v>0</v>
      </c>
      <c r="E54" s="37">
        <v>0</v>
      </c>
      <c r="F54" s="37">
        <v>0</v>
      </c>
      <c r="G54" s="37">
        <v>0</v>
      </c>
      <c r="H54" s="37">
        <v>0</v>
      </c>
      <c r="I54" s="37">
        <v>0</v>
      </c>
      <c r="J54" s="37">
        <v>0</v>
      </c>
      <c r="K54" s="37">
        <v>0</v>
      </c>
      <c r="L54" s="37">
        <v>0</v>
      </c>
      <c r="M54" s="38">
        <v>0</v>
      </c>
      <c r="N54" s="32">
        <v>0.95833333333333304</v>
      </c>
      <c r="O54" s="26">
        <f>B54*'1-Data Input'!$D$2</f>
        <v>0</v>
      </c>
      <c r="P54" s="26">
        <f>C54*'1-Data Input'!$D$3</f>
        <v>0</v>
      </c>
      <c r="Q54" s="26">
        <f>D54*'1-Data Input'!$D$4</f>
        <v>0</v>
      </c>
      <c r="R54" s="26">
        <f>E54*'1-Data Input'!$D$5</f>
        <v>0</v>
      </c>
      <c r="S54" s="26">
        <f>F54*'1-Data Input'!$D$6</f>
        <v>0</v>
      </c>
      <c r="T54" s="26">
        <f>G54*'1-Data Input'!$D$7</f>
        <v>0</v>
      </c>
      <c r="U54" s="26">
        <f>H54*'1-Data Input'!$D$8</f>
        <v>0</v>
      </c>
      <c r="V54" s="26">
        <f>I54*'1-Data Input'!$D$9</f>
        <v>0</v>
      </c>
      <c r="W54" s="26">
        <f>J54*'1-Data Input'!$D$10</f>
        <v>0</v>
      </c>
      <c r="X54" s="26">
        <f>K54*'1-Data Input'!$D$11</f>
        <v>0</v>
      </c>
      <c r="Y54" s="26">
        <f>L54*'1-Data Input'!$D$12</f>
        <v>0</v>
      </c>
      <c r="Z54" s="27">
        <f>M54*'1-Data Input'!$D$13</f>
        <v>0</v>
      </c>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row>
    <row r="55" spans="1:56" ht="26.25" x14ac:dyDescent="0.25">
      <c r="A55" s="73" t="s">
        <v>34</v>
      </c>
      <c r="B55" s="73"/>
      <c r="C55" s="73"/>
      <c r="D55" s="73"/>
      <c r="E55" s="73"/>
      <c r="F55" s="73"/>
      <c r="G55" s="71" t="s">
        <v>56</v>
      </c>
      <c r="H55" s="71"/>
      <c r="I55" s="71"/>
      <c r="J55" s="71"/>
      <c r="K55" s="71"/>
      <c r="L55" s="71"/>
      <c r="M55" s="71"/>
      <c r="N55" s="71"/>
      <c r="O55" s="71"/>
      <c r="P55" s="71"/>
      <c r="Q55" s="71"/>
      <c r="R55" s="71"/>
      <c r="S55" s="71"/>
      <c r="T55" s="71"/>
      <c r="U55" s="71"/>
      <c r="V55" s="71"/>
      <c r="W55" s="71"/>
      <c r="X55" s="71"/>
      <c r="Y55" s="71"/>
      <c r="Z55" s="72"/>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row>
    <row r="56" spans="1:56" ht="33.75" x14ac:dyDescent="0.5">
      <c r="A56" s="67" t="s">
        <v>35</v>
      </c>
      <c r="B56" s="67"/>
      <c r="C56" s="67"/>
      <c r="D56" s="67"/>
      <c r="E56" s="67"/>
      <c r="F56" s="67"/>
      <c r="G56" s="67"/>
      <c r="H56" s="67"/>
      <c r="I56" s="67"/>
      <c r="J56" s="67"/>
      <c r="K56" s="67"/>
      <c r="L56" s="67"/>
      <c r="M56" s="68"/>
      <c r="N56" s="69" t="s">
        <v>36</v>
      </c>
      <c r="O56" s="69"/>
      <c r="P56" s="69"/>
      <c r="Q56" s="69"/>
      <c r="R56" s="69"/>
      <c r="S56" s="69"/>
      <c r="T56" s="69"/>
      <c r="U56" s="69"/>
      <c r="V56" s="69"/>
      <c r="W56" s="69"/>
      <c r="X56" s="69"/>
      <c r="Y56" s="69"/>
      <c r="Z56" s="69"/>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row>
    <row r="57" spans="1:56" ht="46.5" x14ac:dyDescent="0.25">
      <c r="A57" s="28" t="s">
        <v>30</v>
      </c>
      <c r="B57" s="29" t="s">
        <v>16</v>
      </c>
      <c r="C57" s="29" t="s">
        <v>17</v>
      </c>
      <c r="D57" s="29" t="s">
        <v>18</v>
      </c>
      <c r="E57" s="29" t="s">
        <v>19</v>
      </c>
      <c r="F57" s="29" t="s">
        <v>4</v>
      </c>
      <c r="G57" s="29" t="s">
        <v>20</v>
      </c>
      <c r="H57" s="29" t="s">
        <v>21</v>
      </c>
      <c r="I57" s="29" t="s">
        <v>22</v>
      </c>
      <c r="J57" s="29" t="s">
        <v>23</v>
      </c>
      <c r="K57" s="29" t="s">
        <v>24</v>
      </c>
      <c r="L57" s="29" t="s">
        <v>25</v>
      </c>
      <c r="M57" s="30" t="s">
        <v>26</v>
      </c>
      <c r="N57" s="31" t="s">
        <v>30</v>
      </c>
      <c r="O57" s="31" t="s">
        <v>16</v>
      </c>
      <c r="P57" s="31" t="s">
        <v>17</v>
      </c>
      <c r="Q57" s="31" t="s">
        <v>18</v>
      </c>
      <c r="R57" s="31" t="s">
        <v>19</v>
      </c>
      <c r="S57" s="31" t="s">
        <v>4</v>
      </c>
      <c r="T57" s="31" t="s">
        <v>20</v>
      </c>
      <c r="U57" s="31" t="s">
        <v>21</v>
      </c>
      <c r="V57" s="31" t="s">
        <v>22</v>
      </c>
      <c r="W57" s="31" t="s">
        <v>23</v>
      </c>
      <c r="X57" s="31" t="s">
        <v>24</v>
      </c>
      <c r="Y57" s="31" t="s">
        <v>25</v>
      </c>
      <c r="Z57" s="31" t="s">
        <v>26</v>
      </c>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row>
    <row r="58" spans="1:56" x14ac:dyDescent="0.25">
      <c r="A58" s="32">
        <v>0</v>
      </c>
      <c r="B58" s="33">
        <v>0</v>
      </c>
      <c r="C58" s="34">
        <v>0</v>
      </c>
      <c r="D58" s="34">
        <v>0</v>
      </c>
      <c r="E58" s="34">
        <v>0</v>
      </c>
      <c r="F58" s="34">
        <v>0</v>
      </c>
      <c r="G58" s="34">
        <v>0</v>
      </c>
      <c r="H58" s="34">
        <v>0</v>
      </c>
      <c r="I58" s="34">
        <v>0</v>
      </c>
      <c r="J58" s="34">
        <v>0</v>
      </c>
      <c r="K58" s="34">
        <v>0</v>
      </c>
      <c r="L58" s="34">
        <v>0</v>
      </c>
      <c r="M58" s="35">
        <v>0</v>
      </c>
      <c r="N58" s="32">
        <v>0</v>
      </c>
      <c r="O58" s="20">
        <f>B58*'1-Data Input'!$E$2</f>
        <v>0</v>
      </c>
      <c r="P58" s="20">
        <f>C58*'1-Data Input'!$E$3</f>
        <v>0</v>
      </c>
      <c r="Q58" s="20">
        <f>D58*'1-Data Input'!$E$4</f>
        <v>0</v>
      </c>
      <c r="R58" s="20">
        <f>E58*'1-Data Input'!$E$5</f>
        <v>0</v>
      </c>
      <c r="S58" s="20">
        <f>F58*'1-Data Input'!$E$6</f>
        <v>0</v>
      </c>
      <c r="T58" s="20">
        <f>G58*'1-Data Input'!$E$7</f>
        <v>0</v>
      </c>
      <c r="U58" s="20">
        <f>H58*'1-Data Input'!$E$8</f>
        <v>0</v>
      </c>
      <c r="V58" s="20">
        <f>I58*'1-Data Input'!$E$9</f>
        <v>0</v>
      </c>
      <c r="W58" s="20">
        <f>J58*'1-Data Input'!$E$10</f>
        <v>0</v>
      </c>
      <c r="X58" s="20">
        <f>K58*'1-Data Input'!$E$11</f>
        <v>0</v>
      </c>
      <c r="Y58" s="20">
        <f>L58*'1-Data Input'!$E$12</f>
        <v>0</v>
      </c>
      <c r="Z58" s="20">
        <f>M58*'1-Data Input'!$E$13</f>
        <v>0</v>
      </c>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row>
    <row r="59" spans="1:56" x14ac:dyDescent="0.25">
      <c r="A59" s="32">
        <v>4.1666666666666699E-2</v>
      </c>
      <c r="B59" s="33">
        <v>0</v>
      </c>
      <c r="C59" s="34">
        <v>0</v>
      </c>
      <c r="D59" s="34">
        <v>0</v>
      </c>
      <c r="E59" s="34">
        <v>0</v>
      </c>
      <c r="F59" s="34">
        <v>0</v>
      </c>
      <c r="G59" s="34">
        <v>0</v>
      </c>
      <c r="H59" s="34">
        <v>0</v>
      </c>
      <c r="I59" s="34">
        <v>0</v>
      </c>
      <c r="J59" s="34">
        <v>0</v>
      </c>
      <c r="K59" s="34">
        <v>0</v>
      </c>
      <c r="L59" s="34">
        <v>0</v>
      </c>
      <c r="M59" s="35">
        <v>0</v>
      </c>
      <c r="N59" s="32">
        <v>4.1666666666666699E-2</v>
      </c>
      <c r="O59" s="20">
        <f>B59*'1-Data Input'!$E$2</f>
        <v>0</v>
      </c>
      <c r="P59" s="20">
        <f>C59*'1-Data Input'!$E$3</f>
        <v>0</v>
      </c>
      <c r="Q59" s="20">
        <f>D59*'1-Data Input'!$E$4</f>
        <v>0</v>
      </c>
      <c r="R59" s="20">
        <f>E59*'1-Data Input'!$E$5</f>
        <v>0</v>
      </c>
      <c r="S59" s="20">
        <f>F59*'1-Data Input'!$E$6</f>
        <v>0</v>
      </c>
      <c r="T59" s="20">
        <f>G59*'1-Data Input'!$E$7</f>
        <v>0</v>
      </c>
      <c r="U59" s="20">
        <f>H59*'1-Data Input'!$E$8</f>
        <v>0</v>
      </c>
      <c r="V59" s="20">
        <f>I59*'1-Data Input'!$E$9</f>
        <v>0</v>
      </c>
      <c r="W59" s="20">
        <f>J59*'1-Data Input'!$E$10</f>
        <v>0</v>
      </c>
      <c r="X59" s="20">
        <f>K59*'1-Data Input'!$E$11</f>
        <v>0</v>
      </c>
      <c r="Y59" s="20">
        <f>L59*'1-Data Input'!$E$12</f>
        <v>0</v>
      </c>
      <c r="Z59" s="20">
        <f>M59*'1-Data Input'!$E$13</f>
        <v>0</v>
      </c>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row>
    <row r="60" spans="1:56" x14ac:dyDescent="0.25">
      <c r="A60" s="32">
        <v>8.3333333333333301E-2</v>
      </c>
      <c r="B60" s="33">
        <v>0</v>
      </c>
      <c r="C60" s="34">
        <v>0</v>
      </c>
      <c r="D60" s="34">
        <v>0</v>
      </c>
      <c r="E60" s="34">
        <v>0</v>
      </c>
      <c r="F60" s="34">
        <v>0</v>
      </c>
      <c r="G60" s="34">
        <v>0</v>
      </c>
      <c r="H60" s="34">
        <v>0</v>
      </c>
      <c r="I60" s="34">
        <v>0</v>
      </c>
      <c r="J60" s="34">
        <v>0</v>
      </c>
      <c r="K60" s="34">
        <v>0</v>
      </c>
      <c r="L60" s="34">
        <v>0</v>
      </c>
      <c r="M60" s="35">
        <v>0</v>
      </c>
      <c r="N60" s="32">
        <v>8.3333333333333301E-2</v>
      </c>
      <c r="O60" s="20">
        <f>B60*'1-Data Input'!$E$2</f>
        <v>0</v>
      </c>
      <c r="P60" s="20">
        <f>C60*'1-Data Input'!$E$3</f>
        <v>0</v>
      </c>
      <c r="Q60" s="20">
        <f>D60*'1-Data Input'!$E$4</f>
        <v>0</v>
      </c>
      <c r="R60" s="20">
        <f>E60*'1-Data Input'!$E$5</f>
        <v>0</v>
      </c>
      <c r="S60" s="20">
        <f>F60*'1-Data Input'!$E$6</f>
        <v>0</v>
      </c>
      <c r="T60" s="20">
        <f>G60*'1-Data Input'!$E$7</f>
        <v>0</v>
      </c>
      <c r="U60" s="20">
        <f>H60*'1-Data Input'!$E$8</f>
        <v>0</v>
      </c>
      <c r="V60" s="20">
        <f>I60*'1-Data Input'!$E$9</f>
        <v>0</v>
      </c>
      <c r="W60" s="20">
        <f>J60*'1-Data Input'!$E$10</f>
        <v>0</v>
      </c>
      <c r="X60" s="20">
        <f>K60*'1-Data Input'!$E$11</f>
        <v>0</v>
      </c>
      <c r="Y60" s="20">
        <f>L60*'1-Data Input'!$E$12</f>
        <v>0</v>
      </c>
      <c r="Z60" s="20">
        <f>M60*'1-Data Input'!$E$13</f>
        <v>0</v>
      </c>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row>
    <row r="61" spans="1:56" x14ac:dyDescent="0.25">
      <c r="A61" s="32">
        <v>0.125</v>
      </c>
      <c r="B61" s="33">
        <v>0</v>
      </c>
      <c r="C61" s="34">
        <v>0</v>
      </c>
      <c r="D61" s="34">
        <v>0</v>
      </c>
      <c r="E61" s="34">
        <v>0</v>
      </c>
      <c r="F61" s="34">
        <v>0</v>
      </c>
      <c r="G61" s="34">
        <v>0</v>
      </c>
      <c r="H61" s="34">
        <v>0</v>
      </c>
      <c r="I61" s="34">
        <v>0</v>
      </c>
      <c r="J61" s="34">
        <v>0</v>
      </c>
      <c r="K61" s="34">
        <v>0</v>
      </c>
      <c r="L61" s="34">
        <v>0</v>
      </c>
      <c r="M61" s="35">
        <v>0</v>
      </c>
      <c r="N61" s="32">
        <v>0.125</v>
      </c>
      <c r="O61" s="20">
        <f>B61*'1-Data Input'!$E$2</f>
        <v>0</v>
      </c>
      <c r="P61" s="20">
        <f>C61*'1-Data Input'!$E$3</f>
        <v>0</v>
      </c>
      <c r="Q61" s="20">
        <f>D61*'1-Data Input'!$E$4</f>
        <v>0</v>
      </c>
      <c r="R61" s="20">
        <f>E61*'1-Data Input'!$E$5</f>
        <v>0</v>
      </c>
      <c r="S61" s="20">
        <f>F61*'1-Data Input'!$E$6</f>
        <v>0</v>
      </c>
      <c r="T61" s="20">
        <f>G61*'1-Data Input'!$E$7</f>
        <v>0</v>
      </c>
      <c r="U61" s="20">
        <f>H61*'1-Data Input'!$E$8</f>
        <v>0</v>
      </c>
      <c r="V61" s="20">
        <f>I61*'1-Data Input'!$E$9</f>
        <v>0</v>
      </c>
      <c r="W61" s="20">
        <f>J61*'1-Data Input'!$E$10</f>
        <v>0</v>
      </c>
      <c r="X61" s="20">
        <f>K61*'1-Data Input'!$E$11</f>
        <v>0</v>
      </c>
      <c r="Y61" s="20">
        <f>L61*'1-Data Input'!$E$12</f>
        <v>0</v>
      </c>
      <c r="Z61" s="20">
        <f>M61*'1-Data Input'!$E$13</f>
        <v>0</v>
      </c>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row>
    <row r="62" spans="1:56" x14ac:dyDescent="0.25">
      <c r="A62" s="32">
        <v>0.16666666666666699</v>
      </c>
      <c r="B62" s="33">
        <v>0</v>
      </c>
      <c r="C62" s="34">
        <v>0</v>
      </c>
      <c r="D62" s="34">
        <v>0</v>
      </c>
      <c r="E62" s="34">
        <v>0</v>
      </c>
      <c r="F62" s="34">
        <v>0</v>
      </c>
      <c r="G62" s="34">
        <v>0</v>
      </c>
      <c r="H62" s="34">
        <v>0</v>
      </c>
      <c r="I62" s="34">
        <v>0</v>
      </c>
      <c r="J62" s="34">
        <v>0</v>
      </c>
      <c r="K62" s="34">
        <v>0</v>
      </c>
      <c r="L62" s="34">
        <v>0</v>
      </c>
      <c r="M62" s="35">
        <v>0</v>
      </c>
      <c r="N62" s="32">
        <v>0.16666666666666699</v>
      </c>
      <c r="O62" s="20">
        <f>B62*'1-Data Input'!$E$2</f>
        <v>0</v>
      </c>
      <c r="P62" s="20">
        <f>C62*'1-Data Input'!$E$3</f>
        <v>0</v>
      </c>
      <c r="Q62" s="20">
        <f>D62*'1-Data Input'!$E$4</f>
        <v>0</v>
      </c>
      <c r="R62" s="20">
        <f>E62*'1-Data Input'!$E$5</f>
        <v>0</v>
      </c>
      <c r="S62" s="20">
        <f>F62*'1-Data Input'!$E$6</f>
        <v>0</v>
      </c>
      <c r="T62" s="20">
        <f>G62*'1-Data Input'!$E$7</f>
        <v>0</v>
      </c>
      <c r="U62" s="20">
        <f>H62*'1-Data Input'!$E$8</f>
        <v>0</v>
      </c>
      <c r="V62" s="20">
        <f>I62*'1-Data Input'!$E$9</f>
        <v>0</v>
      </c>
      <c r="W62" s="20">
        <f>J62*'1-Data Input'!$E$10</f>
        <v>0</v>
      </c>
      <c r="X62" s="20">
        <f>K62*'1-Data Input'!$E$11</f>
        <v>0</v>
      </c>
      <c r="Y62" s="20">
        <f>L62*'1-Data Input'!$E$12</f>
        <v>0</v>
      </c>
      <c r="Z62" s="20">
        <f>M62*'1-Data Input'!$E$13</f>
        <v>0</v>
      </c>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row>
    <row r="63" spans="1:56" x14ac:dyDescent="0.25">
      <c r="A63" s="32">
        <v>0.20833333333333301</v>
      </c>
      <c r="B63" s="33">
        <v>0</v>
      </c>
      <c r="C63" s="34">
        <v>0</v>
      </c>
      <c r="D63" s="34">
        <v>0</v>
      </c>
      <c r="E63" s="34">
        <v>0</v>
      </c>
      <c r="F63" s="34">
        <v>1.6694640580567559E-3</v>
      </c>
      <c r="G63" s="34">
        <v>6.6202878738384199E-3</v>
      </c>
      <c r="H63" s="34">
        <v>1.9306895124927878E-3</v>
      </c>
      <c r="I63" s="34">
        <v>0</v>
      </c>
      <c r="J63" s="34">
        <v>0</v>
      </c>
      <c r="K63" s="34">
        <v>0</v>
      </c>
      <c r="L63" s="34">
        <v>0</v>
      </c>
      <c r="M63" s="35">
        <v>0</v>
      </c>
      <c r="N63" s="32">
        <v>0.20833333333333301</v>
      </c>
      <c r="O63" s="20">
        <f>B63*'1-Data Input'!$E$2</f>
        <v>0</v>
      </c>
      <c r="P63" s="20">
        <f>C63*'1-Data Input'!$E$3</f>
        <v>0</v>
      </c>
      <c r="Q63" s="20">
        <f>D63*'1-Data Input'!$E$4</f>
        <v>0</v>
      </c>
      <c r="R63" s="20">
        <f>E63*'1-Data Input'!$E$5</f>
        <v>0</v>
      </c>
      <c r="S63" s="20">
        <f>F63*'1-Data Input'!$E$6</f>
        <v>0</v>
      </c>
      <c r="T63" s="20">
        <f>G63*'1-Data Input'!$E$7</f>
        <v>0</v>
      </c>
      <c r="U63" s="20">
        <f>H63*'1-Data Input'!$E$8</f>
        <v>0</v>
      </c>
      <c r="V63" s="20">
        <f>I63*'1-Data Input'!$E$9</f>
        <v>0</v>
      </c>
      <c r="W63" s="20">
        <f>J63*'1-Data Input'!$E$10</f>
        <v>0</v>
      </c>
      <c r="X63" s="20">
        <f>K63*'1-Data Input'!$E$11</f>
        <v>0</v>
      </c>
      <c r="Y63" s="20">
        <f>L63*'1-Data Input'!$E$12</f>
        <v>0</v>
      </c>
      <c r="Z63" s="20">
        <f>M63*'1-Data Input'!$E$13</f>
        <v>0</v>
      </c>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row>
    <row r="64" spans="1:56" x14ac:dyDescent="0.25">
      <c r="A64" s="32">
        <v>0.25</v>
      </c>
      <c r="B64" s="33">
        <v>0</v>
      </c>
      <c r="C64" s="34">
        <v>0</v>
      </c>
      <c r="D64" s="34">
        <v>0</v>
      </c>
      <c r="E64" s="34">
        <v>4.0167692000775447E-3</v>
      </c>
      <c r="F64" s="34">
        <v>1.6239159338844671E-2</v>
      </c>
      <c r="G64" s="34">
        <v>2.0198459304062624E-2</v>
      </c>
      <c r="H64" s="34">
        <v>1.5534042651493348E-2</v>
      </c>
      <c r="I64" s="34">
        <v>8.5460550299728995E-3</v>
      </c>
      <c r="J64" s="34">
        <v>6.8591950156833903E-5</v>
      </c>
      <c r="K64" s="34">
        <v>0</v>
      </c>
      <c r="L64" s="34">
        <v>0</v>
      </c>
      <c r="M64" s="35">
        <v>0</v>
      </c>
      <c r="N64" s="32">
        <v>0.25</v>
      </c>
      <c r="O64" s="20">
        <f>B64*'1-Data Input'!$E$2</f>
        <v>0</v>
      </c>
      <c r="P64" s="20">
        <f>C64*'1-Data Input'!$E$3</f>
        <v>0</v>
      </c>
      <c r="Q64" s="20">
        <f>D64*'1-Data Input'!$E$4</f>
        <v>0</v>
      </c>
      <c r="R64" s="20">
        <f>E64*'1-Data Input'!$E$5</f>
        <v>0</v>
      </c>
      <c r="S64" s="20">
        <f>F64*'1-Data Input'!$E$6</f>
        <v>0</v>
      </c>
      <c r="T64" s="20">
        <f>G64*'1-Data Input'!$E$7</f>
        <v>0</v>
      </c>
      <c r="U64" s="20">
        <f>H64*'1-Data Input'!$E$8</f>
        <v>0</v>
      </c>
      <c r="V64" s="20">
        <f>I64*'1-Data Input'!$E$9</f>
        <v>0</v>
      </c>
      <c r="W64" s="20">
        <f>J64*'1-Data Input'!$E$10</f>
        <v>0</v>
      </c>
      <c r="X64" s="20">
        <f>K64*'1-Data Input'!$E$11</f>
        <v>0</v>
      </c>
      <c r="Y64" s="20">
        <f>L64*'1-Data Input'!$E$12</f>
        <v>0</v>
      </c>
      <c r="Z64" s="20">
        <f>M64*'1-Data Input'!$E$13</f>
        <v>0</v>
      </c>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row>
    <row r="65" spans="1:56" x14ac:dyDescent="0.25">
      <c r="A65" s="32">
        <v>0.29166666666666702</v>
      </c>
      <c r="B65" s="33">
        <v>0</v>
      </c>
      <c r="C65" s="34">
        <v>0</v>
      </c>
      <c r="D65" s="34">
        <v>5.9357522844538232E-3</v>
      </c>
      <c r="E65" s="34">
        <v>2.7567730413013688E-2</v>
      </c>
      <c r="F65" s="34">
        <v>4.243639891895274E-2</v>
      </c>
      <c r="G65" s="34">
        <v>4.5794581917634608E-2</v>
      </c>
      <c r="H65" s="34">
        <v>4.0167482656000994E-2</v>
      </c>
      <c r="I65" s="34">
        <v>3.5338461569119475E-2</v>
      </c>
      <c r="J65" s="34">
        <v>1.8307960010372788E-2</v>
      </c>
      <c r="K65" s="34">
        <v>2.8633053690985777E-3</v>
      </c>
      <c r="L65" s="34">
        <v>8.9330427315130326E-4</v>
      </c>
      <c r="M65" s="35">
        <v>0</v>
      </c>
      <c r="N65" s="32">
        <v>0.29166666666666702</v>
      </c>
      <c r="O65" s="20">
        <f>B65*'1-Data Input'!$E$2</f>
        <v>0</v>
      </c>
      <c r="P65" s="20">
        <f>C65*'1-Data Input'!$E$3</f>
        <v>0</v>
      </c>
      <c r="Q65" s="20">
        <f>D65*'1-Data Input'!$E$4</f>
        <v>0</v>
      </c>
      <c r="R65" s="20">
        <f>E65*'1-Data Input'!$E$5</f>
        <v>0</v>
      </c>
      <c r="S65" s="20">
        <f>F65*'1-Data Input'!$E$6</f>
        <v>0</v>
      </c>
      <c r="T65" s="20">
        <f>G65*'1-Data Input'!$E$7</f>
        <v>0</v>
      </c>
      <c r="U65" s="20">
        <f>H65*'1-Data Input'!$E$8</f>
        <v>0</v>
      </c>
      <c r="V65" s="20">
        <f>I65*'1-Data Input'!$E$9</f>
        <v>0</v>
      </c>
      <c r="W65" s="20">
        <f>J65*'1-Data Input'!$E$10</f>
        <v>0</v>
      </c>
      <c r="X65" s="20">
        <f>K65*'1-Data Input'!$E$11</f>
        <v>0</v>
      </c>
      <c r="Y65" s="20">
        <f>L65*'1-Data Input'!$E$12</f>
        <v>0</v>
      </c>
      <c r="Z65" s="20">
        <f>M65*'1-Data Input'!$E$13</f>
        <v>0</v>
      </c>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row>
    <row r="66" spans="1:56" x14ac:dyDescent="0.25">
      <c r="A66" s="32">
        <v>0.33333333333333298</v>
      </c>
      <c r="B66" s="33">
        <v>0</v>
      </c>
      <c r="C66" s="34">
        <v>5.4723382891230937E-3</v>
      </c>
      <c r="D66" s="34">
        <v>3.6925595528140377E-2</v>
      </c>
      <c r="E66" s="34">
        <v>5.9886226972899838E-2</v>
      </c>
      <c r="F66" s="34">
        <v>7.1021361330620342E-2</v>
      </c>
      <c r="G66" s="34">
        <v>6.970554975586897E-2</v>
      </c>
      <c r="H66" s="34">
        <v>6.4916539644942942E-2</v>
      </c>
      <c r="I66" s="34">
        <v>6.4866110846268824E-2</v>
      </c>
      <c r="J66" s="34">
        <v>5.0210941705601045E-2</v>
      </c>
      <c r="K66" s="34">
        <v>3.6782153109793533E-2</v>
      </c>
      <c r="L66" s="34">
        <v>1.8917530912193514E-2</v>
      </c>
      <c r="M66" s="35">
        <v>6.3451586863049157E-3</v>
      </c>
      <c r="N66" s="32">
        <v>0.33333333333333298</v>
      </c>
      <c r="O66" s="20">
        <f>B66*'1-Data Input'!$E$2</f>
        <v>0</v>
      </c>
      <c r="P66" s="20">
        <f>C66*'1-Data Input'!$E$3</f>
        <v>0</v>
      </c>
      <c r="Q66" s="20">
        <f>D66*'1-Data Input'!$E$4</f>
        <v>0</v>
      </c>
      <c r="R66" s="20">
        <f>E66*'1-Data Input'!$E$5</f>
        <v>0</v>
      </c>
      <c r="S66" s="20">
        <f>F66*'1-Data Input'!$E$6</f>
        <v>0</v>
      </c>
      <c r="T66" s="20">
        <f>G66*'1-Data Input'!$E$7</f>
        <v>0</v>
      </c>
      <c r="U66" s="20">
        <f>H66*'1-Data Input'!$E$8</f>
        <v>0</v>
      </c>
      <c r="V66" s="20">
        <f>I66*'1-Data Input'!$E$9</f>
        <v>0</v>
      </c>
      <c r="W66" s="20">
        <f>J66*'1-Data Input'!$E$10</f>
        <v>0</v>
      </c>
      <c r="X66" s="20">
        <f>K66*'1-Data Input'!$E$11</f>
        <v>0</v>
      </c>
      <c r="Y66" s="20">
        <f>L66*'1-Data Input'!$E$12</f>
        <v>0</v>
      </c>
      <c r="Z66" s="20">
        <f>M66*'1-Data Input'!$E$13</f>
        <v>0</v>
      </c>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row>
    <row r="67" spans="1:56" x14ac:dyDescent="0.25">
      <c r="A67" s="32">
        <v>0.375</v>
      </c>
      <c r="B67" s="33">
        <v>2.2603021938131643E-2</v>
      </c>
      <c r="C67" s="34">
        <v>4.9162935257794367E-2</v>
      </c>
      <c r="D67" s="34">
        <v>7.6237311982417746E-2</v>
      </c>
      <c r="E67" s="34">
        <v>9.0771843875691663E-2</v>
      </c>
      <c r="F67" s="34">
        <v>9.2683636453649354E-2</v>
      </c>
      <c r="G67" s="34">
        <v>8.9369118782157295E-2</v>
      </c>
      <c r="H67" s="34">
        <v>8.9106655620728933E-2</v>
      </c>
      <c r="I67" s="34">
        <v>9.0597643923895702E-2</v>
      </c>
      <c r="J67" s="34">
        <v>8.639176062938092E-2</v>
      </c>
      <c r="K67" s="34">
        <v>8.7049797775210755E-2</v>
      </c>
      <c r="L67" s="34">
        <v>7.2839329074133194E-2</v>
      </c>
      <c r="M67" s="35">
        <v>4.600588410392726E-2</v>
      </c>
      <c r="N67" s="32">
        <v>0.375</v>
      </c>
      <c r="O67" s="20">
        <f>B67*'1-Data Input'!$E$2</f>
        <v>0</v>
      </c>
      <c r="P67" s="20">
        <f>C67*'1-Data Input'!$E$3</f>
        <v>0</v>
      </c>
      <c r="Q67" s="20">
        <f>D67*'1-Data Input'!$E$4</f>
        <v>0</v>
      </c>
      <c r="R67" s="20">
        <f>E67*'1-Data Input'!$E$5</f>
        <v>0</v>
      </c>
      <c r="S67" s="20">
        <f>F67*'1-Data Input'!$E$6</f>
        <v>0</v>
      </c>
      <c r="T67" s="20">
        <f>G67*'1-Data Input'!$E$7</f>
        <v>0</v>
      </c>
      <c r="U67" s="20">
        <f>H67*'1-Data Input'!$E$8</f>
        <v>0</v>
      </c>
      <c r="V67" s="20">
        <f>I67*'1-Data Input'!$E$9</f>
        <v>0</v>
      </c>
      <c r="W67" s="20">
        <f>J67*'1-Data Input'!$E$10</f>
        <v>0</v>
      </c>
      <c r="X67" s="20">
        <f>K67*'1-Data Input'!$E$11</f>
        <v>0</v>
      </c>
      <c r="Y67" s="20">
        <f>L67*'1-Data Input'!$E$12</f>
        <v>0</v>
      </c>
      <c r="Z67" s="20">
        <f>M67*'1-Data Input'!$E$13</f>
        <v>0</v>
      </c>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row>
    <row r="68" spans="1:56" x14ac:dyDescent="0.25">
      <c r="A68" s="32">
        <v>0.41666666666666702</v>
      </c>
      <c r="B68" s="33">
        <v>0.11875714792995477</v>
      </c>
      <c r="C68" s="34">
        <v>9.3211643899761235E-2</v>
      </c>
      <c r="D68" s="34">
        <v>0.10586584536746421</v>
      </c>
      <c r="E68" s="34">
        <v>0.1083398409899977</v>
      </c>
      <c r="F68" s="34">
        <v>0.11060387399641511</v>
      </c>
      <c r="G68" s="34">
        <v>0.1035544691863293</v>
      </c>
      <c r="H68" s="34">
        <v>0.10735759042875659</v>
      </c>
      <c r="I68" s="34">
        <v>0.1050130425221293</v>
      </c>
      <c r="J68" s="34">
        <v>0.10802933063463008</v>
      </c>
      <c r="K68" s="34">
        <v>0.13277957017857792</v>
      </c>
      <c r="L68" s="34">
        <v>0.13443926119731192</v>
      </c>
      <c r="M68" s="35">
        <v>0.11370771502494723</v>
      </c>
      <c r="N68" s="32">
        <v>0.41666666666666702</v>
      </c>
      <c r="O68" s="20">
        <f>B68*'1-Data Input'!$E$2</f>
        <v>0</v>
      </c>
      <c r="P68" s="20">
        <f>C68*'1-Data Input'!$E$3</f>
        <v>0</v>
      </c>
      <c r="Q68" s="20">
        <f>D68*'1-Data Input'!$E$4</f>
        <v>0</v>
      </c>
      <c r="R68" s="20">
        <f>E68*'1-Data Input'!$E$5</f>
        <v>0</v>
      </c>
      <c r="S68" s="20">
        <f>F68*'1-Data Input'!$E$6</f>
        <v>0</v>
      </c>
      <c r="T68" s="20">
        <f>G68*'1-Data Input'!$E$7</f>
        <v>0</v>
      </c>
      <c r="U68" s="20">
        <f>H68*'1-Data Input'!$E$8</f>
        <v>0</v>
      </c>
      <c r="V68" s="20">
        <f>I68*'1-Data Input'!$E$9</f>
        <v>0</v>
      </c>
      <c r="W68" s="20">
        <f>J68*'1-Data Input'!$E$10</f>
        <v>0</v>
      </c>
      <c r="X68" s="20">
        <f>K68*'1-Data Input'!$E$11</f>
        <v>0</v>
      </c>
      <c r="Y68" s="20">
        <f>L68*'1-Data Input'!$E$12</f>
        <v>0</v>
      </c>
      <c r="Z68" s="20">
        <f>M68*'1-Data Input'!$E$13</f>
        <v>0</v>
      </c>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row>
    <row r="69" spans="1:56" x14ac:dyDescent="0.25">
      <c r="A69" s="32">
        <v>0.45833333333333298</v>
      </c>
      <c r="B69" s="33">
        <v>0.18836313590125861</v>
      </c>
      <c r="C69" s="34">
        <v>0.12008607261355794</v>
      </c>
      <c r="D69" s="34">
        <v>0.12025076967207825</v>
      </c>
      <c r="E69" s="34">
        <v>0.11877612564828427</v>
      </c>
      <c r="F69" s="34">
        <v>0.11264811397628716</v>
      </c>
      <c r="G69" s="34">
        <v>9.3992290612989818E-2</v>
      </c>
      <c r="H69" s="34">
        <v>0.10311792970207656</v>
      </c>
      <c r="I69" s="34">
        <v>0.11568575408659665</v>
      </c>
      <c r="J69" s="34">
        <v>0.12799489448350715</v>
      </c>
      <c r="K69" s="34">
        <v>0.15325270846769526</v>
      </c>
      <c r="L69" s="34">
        <v>0.16527374081430229</v>
      </c>
      <c r="M69" s="35">
        <v>0.16481104903428431</v>
      </c>
      <c r="N69" s="32">
        <v>0.45833333333333298</v>
      </c>
      <c r="O69" s="20">
        <f>B69*'1-Data Input'!$E$2</f>
        <v>0</v>
      </c>
      <c r="P69" s="20">
        <f>C69*'1-Data Input'!$E$3</f>
        <v>0</v>
      </c>
      <c r="Q69" s="20">
        <f>D69*'1-Data Input'!$E$4</f>
        <v>0</v>
      </c>
      <c r="R69" s="20">
        <f>E69*'1-Data Input'!$E$5</f>
        <v>0</v>
      </c>
      <c r="S69" s="20">
        <f>F69*'1-Data Input'!$E$6</f>
        <v>0</v>
      </c>
      <c r="T69" s="20">
        <f>G69*'1-Data Input'!$E$7</f>
        <v>0</v>
      </c>
      <c r="U69" s="20">
        <f>H69*'1-Data Input'!$E$8</f>
        <v>0</v>
      </c>
      <c r="V69" s="20">
        <f>I69*'1-Data Input'!$E$9</f>
        <v>0</v>
      </c>
      <c r="W69" s="20">
        <f>J69*'1-Data Input'!$E$10</f>
        <v>0</v>
      </c>
      <c r="X69" s="20">
        <f>K69*'1-Data Input'!$E$11</f>
        <v>0</v>
      </c>
      <c r="Y69" s="20">
        <f>L69*'1-Data Input'!$E$12</f>
        <v>0</v>
      </c>
      <c r="Z69" s="20">
        <f>M69*'1-Data Input'!$E$13</f>
        <v>0</v>
      </c>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row>
    <row r="70" spans="1:56" x14ac:dyDescent="0.25">
      <c r="A70" s="32">
        <v>0.5</v>
      </c>
      <c r="B70" s="33">
        <v>0.19319641061800613</v>
      </c>
      <c r="C70" s="34">
        <v>0.15032752539125818</v>
      </c>
      <c r="D70" s="34">
        <v>0.13728411402614404</v>
      </c>
      <c r="E70" s="34">
        <v>0.12224563684500281</v>
      </c>
      <c r="F70" s="34">
        <v>0.10973738774110306</v>
      </c>
      <c r="G70" s="34">
        <v>0.10145337835819984</v>
      </c>
      <c r="H70" s="34">
        <v>0.11249780304989698</v>
      </c>
      <c r="I70" s="34">
        <v>0.11864354689453577</v>
      </c>
      <c r="J70" s="34">
        <v>0.13768054418047909</v>
      </c>
      <c r="K70" s="34">
        <v>0.16832733565505337</v>
      </c>
      <c r="L70" s="34">
        <v>0.16623969500298957</v>
      </c>
      <c r="M70" s="35">
        <v>0.18665165967738576</v>
      </c>
      <c r="N70" s="32">
        <v>0.5</v>
      </c>
      <c r="O70" s="20">
        <f>B70*'1-Data Input'!$E$2</f>
        <v>0</v>
      </c>
      <c r="P70" s="20">
        <f>C70*'1-Data Input'!$E$3</f>
        <v>0</v>
      </c>
      <c r="Q70" s="20">
        <f>D70*'1-Data Input'!$E$4</f>
        <v>0</v>
      </c>
      <c r="R70" s="20">
        <f>E70*'1-Data Input'!$E$5</f>
        <v>0</v>
      </c>
      <c r="S70" s="20">
        <f>F70*'1-Data Input'!$E$6</f>
        <v>0</v>
      </c>
      <c r="T70" s="20">
        <f>G70*'1-Data Input'!$E$7</f>
        <v>0</v>
      </c>
      <c r="U70" s="20">
        <f>H70*'1-Data Input'!$E$8</f>
        <v>0</v>
      </c>
      <c r="V70" s="20">
        <f>I70*'1-Data Input'!$E$9</f>
        <v>0</v>
      </c>
      <c r="W70" s="20">
        <f>J70*'1-Data Input'!$E$10</f>
        <v>0</v>
      </c>
      <c r="X70" s="20">
        <f>K70*'1-Data Input'!$E$11</f>
        <v>0</v>
      </c>
      <c r="Y70" s="20">
        <f>L70*'1-Data Input'!$E$12</f>
        <v>0</v>
      </c>
      <c r="Z70" s="20">
        <f>M70*'1-Data Input'!$E$13</f>
        <v>0</v>
      </c>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row>
    <row r="71" spans="1:56" x14ac:dyDescent="0.25">
      <c r="A71" s="32">
        <v>0.54166666666666696</v>
      </c>
      <c r="B71" s="33">
        <v>0.19292013961076526</v>
      </c>
      <c r="C71" s="34">
        <v>0.17599678144328554</v>
      </c>
      <c r="D71" s="34">
        <v>0.15413758657549484</v>
      </c>
      <c r="E71" s="34">
        <v>0.12979365356874201</v>
      </c>
      <c r="F71" s="34">
        <v>0.10583021416702569</v>
      </c>
      <c r="G71" s="34">
        <v>0.10022466121974695</v>
      </c>
      <c r="H71" s="34">
        <v>0.11474482471947994</v>
      </c>
      <c r="I71" s="34">
        <v>0.11546269169217729</v>
      </c>
      <c r="J71" s="34">
        <v>0.14432087011095221</v>
      </c>
      <c r="K71" s="34">
        <v>0.15634303463105526</v>
      </c>
      <c r="L71" s="34">
        <v>0.18279464698320796</v>
      </c>
      <c r="M71" s="35">
        <v>0.22024799622051816</v>
      </c>
      <c r="N71" s="32">
        <v>0.54166666666666696</v>
      </c>
      <c r="O71" s="20">
        <f>B71*'1-Data Input'!$E$2</f>
        <v>0</v>
      </c>
      <c r="P71" s="20">
        <f>C71*'1-Data Input'!$E$3</f>
        <v>0</v>
      </c>
      <c r="Q71" s="20">
        <f>D71*'1-Data Input'!$E$4</f>
        <v>0</v>
      </c>
      <c r="R71" s="20">
        <f>E71*'1-Data Input'!$E$5</f>
        <v>0</v>
      </c>
      <c r="S71" s="20">
        <f>F71*'1-Data Input'!$E$6</f>
        <v>0</v>
      </c>
      <c r="T71" s="20">
        <f>G71*'1-Data Input'!$E$7</f>
        <v>0</v>
      </c>
      <c r="U71" s="20">
        <f>H71*'1-Data Input'!$E$8</f>
        <v>0</v>
      </c>
      <c r="V71" s="20">
        <f>I71*'1-Data Input'!$E$9</f>
        <v>0</v>
      </c>
      <c r="W71" s="20">
        <f>J71*'1-Data Input'!$E$10</f>
        <v>0</v>
      </c>
      <c r="X71" s="20">
        <f>K71*'1-Data Input'!$E$11</f>
        <v>0</v>
      </c>
      <c r="Y71" s="20">
        <f>L71*'1-Data Input'!$E$12</f>
        <v>0</v>
      </c>
      <c r="Z71" s="20">
        <f>M71*'1-Data Input'!$E$13</f>
        <v>0</v>
      </c>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row>
    <row r="72" spans="1:56" x14ac:dyDescent="0.25">
      <c r="A72" s="32">
        <v>0.58333333333333304</v>
      </c>
      <c r="B72" s="33">
        <v>0.17063362736267143</v>
      </c>
      <c r="C72" s="34">
        <v>0.1880256492648964</v>
      </c>
      <c r="D72" s="34">
        <v>0.14083147716737812</v>
      </c>
      <c r="E72" s="34">
        <v>0.12211344852574998</v>
      </c>
      <c r="F72" s="34">
        <v>0.10096307778212525</v>
      </c>
      <c r="G72" s="34">
        <v>0.10112497803003624</v>
      </c>
      <c r="H72" s="34">
        <v>0.1028179544286187</v>
      </c>
      <c r="I72" s="34">
        <v>0.10787115662078678</v>
      </c>
      <c r="J72" s="34">
        <v>0.13254997661141929</v>
      </c>
      <c r="K72" s="34">
        <v>0.1286159487558719</v>
      </c>
      <c r="L72" s="34">
        <v>0.14891270359071151</v>
      </c>
      <c r="M72" s="35">
        <v>0.1813145362299978</v>
      </c>
      <c r="N72" s="32">
        <v>0.58333333333333304</v>
      </c>
      <c r="O72" s="20">
        <f>B72*'1-Data Input'!$E$2</f>
        <v>0</v>
      </c>
      <c r="P72" s="20">
        <f>C72*'1-Data Input'!$E$3</f>
        <v>0</v>
      </c>
      <c r="Q72" s="20">
        <f>D72*'1-Data Input'!$E$4</f>
        <v>0</v>
      </c>
      <c r="R72" s="20">
        <f>E72*'1-Data Input'!$E$5</f>
        <v>0</v>
      </c>
      <c r="S72" s="20">
        <f>F72*'1-Data Input'!$E$6</f>
        <v>0</v>
      </c>
      <c r="T72" s="20">
        <f>G72*'1-Data Input'!$E$7</f>
        <v>0</v>
      </c>
      <c r="U72" s="20">
        <f>H72*'1-Data Input'!$E$8</f>
        <v>0</v>
      </c>
      <c r="V72" s="20">
        <f>I72*'1-Data Input'!$E$9</f>
        <v>0</v>
      </c>
      <c r="W72" s="20">
        <f>J72*'1-Data Input'!$E$10</f>
        <v>0</v>
      </c>
      <c r="X72" s="20">
        <f>K72*'1-Data Input'!$E$11</f>
        <v>0</v>
      </c>
      <c r="Y72" s="20">
        <f>L72*'1-Data Input'!$E$12</f>
        <v>0</v>
      </c>
      <c r="Z72" s="20">
        <f>M72*'1-Data Input'!$E$13</f>
        <v>0</v>
      </c>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row>
    <row r="73" spans="1:56" x14ac:dyDescent="0.25">
      <c r="A73" s="32">
        <v>0.625</v>
      </c>
      <c r="B73" s="33">
        <v>0.10016734002311009</v>
      </c>
      <c r="C73" s="34">
        <v>0.14237260931513263</v>
      </c>
      <c r="D73" s="34">
        <v>0.10886859033959817</v>
      </c>
      <c r="E73" s="34">
        <v>9.9176918231113423E-2</v>
      </c>
      <c r="F73" s="34">
        <v>9.0436479463056232E-2</v>
      </c>
      <c r="G73" s="34">
        <v>9.4617066527929283E-2</v>
      </c>
      <c r="H73" s="34">
        <v>8.9637644489052232E-2</v>
      </c>
      <c r="I73" s="34">
        <v>9.1658442946885535E-2</v>
      </c>
      <c r="J73" s="34">
        <v>9.5941577008865089E-2</v>
      </c>
      <c r="K73" s="34">
        <v>9.3335141191375801E-2</v>
      </c>
      <c r="L73" s="34">
        <v>8.7334178439325005E-2</v>
      </c>
      <c r="M73" s="35">
        <v>7.2839435249418716E-2</v>
      </c>
      <c r="N73" s="32">
        <v>0.625</v>
      </c>
      <c r="O73" s="20">
        <f>B73*'1-Data Input'!$E$2</f>
        <v>0</v>
      </c>
      <c r="P73" s="20">
        <f>C73*'1-Data Input'!$E$3</f>
        <v>0</v>
      </c>
      <c r="Q73" s="20">
        <f>D73*'1-Data Input'!$E$4</f>
        <v>0</v>
      </c>
      <c r="R73" s="20">
        <f>E73*'1-Data Input'!$E$5</f>
        <v>0</v>
      </c>
      <c r="S73" s="20">
        <f>F73*'1-Data Input'!$E$6</f>
        <v>0</v>
      </c>
      <c r="T73" s="20">
        <f>G73*'1-Data Input'!$E$7</f>
        <v>0</v>
      </c>
      <c r="U73" s="20">
        <f>H73*'1-Data Input'!$E$8</f>
        <v>0</v>
      </c>
      <c r="V73" s="20">
        <f>I73*'1-Data Input'!$E$9</f>
        <v>0</v>
      </c>
      <c r="W73" s="20">
        <f>J73*'1-Data Input'!$E$10</f>
        <v>0</v>
      </c>
      <c r="X73" s="20">
        <f>K73*'1-Data Input'!$E$11</f>
        <v>0</v>
      </c>
      <c r="Y73" s="20">
        <f>L73*'1-Data Input'!$E$12</f>
        <v>0</v>
      </c>
      <c r="Z73" s="20">
        <f>M73*'1-Data Input'!$E$13</f>
        <v>0</v>
      </c>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row>
    <row r="74" spans="1:56" x14ac:dyDescent="0.25">
      <c r="A74" s="32">
        <v>0.66666666666666696</v>
      </c>
      <c r="B74" s="33">
        <v>1.3359176616101988E-2</v>
      </c>
      <c r="C74" s="34">
        <v>6.6497348756261856E-2</v>
      </c>
      <c r="D74" s="34">
        <v>7.8859297572259207E-2</v>
      </c>
      <c r="E74" s="34">
        <v>6.8865200743513919E-2</v>
      </c>
      <c r="F74" s="34">
        <v>6.9853749083480646E-2</v>
      </c>
      <c r="G74" s="34">
        <v>7.7164856815027688E-2</v>
      </c>
      <c r="H74" s="34">
        <v>7.1668132173514393E-2</v>
      </c>
      <c r="I74" s="34">
        <v>7.3026918999305732E-2</v>
      </c>
      <c r="J74" s="34">
        <v>6.4787930679514466E-2</v>
      </c>
      <c r="K74" s="34">
        <v>3.7478474975261147E-2</v>
      </c>
      <c r="L74" s="34">
        <v>2.1171806098732138E-2</v>
      </c>
      <c r="M74" s="35">
        <v>8.0765657732159296E-3</v>
      </c>
      <c r="N74" s="32">
        <v>0.66666666666666696</v>
      </c>
      <c r="O74" s="20">
        <f>B74*'1-Data Input'!$E$2</f>
        <v>0</v>
      </c>
      <c r="P74" s="20">
        <f>C74*'1-Data Input'!$E$3</f>
        <v>0</v>
      </c>
      <c r="Q74" s="20">
        <f>D74*'1-Data Input'!$E$4</f>
        <v>0</v>
      </c>
      <c r="R74" s="20">
        <f>E74*'1-Data Input'!$E$5</f>
        <v>0</v>
      </c>
      <c r="S74" s="20">
        <f>F74*'1-Data Input'!$E$6</f>
        <v>0</v>
      </c>
      <c r="T74" s="20">
        <f>G74*'1-Data Input'!$E$7</f>
        <v>0</v>
      </c>
      <c r="U74" s="20">
        <f>H74*'1-Data Input'!$E$8</f>
        <v>0</v>
      </c>
      <c r="V74" s="20">
        <f>I74*'1-Data Input'!$E$9</f>
        <v>0</v>
      </c>
      <c r="W74" s="20">
        <f>J74*'1-Data Input'!$E$10</f>
        <v>0</v>
      </c>
      <c r="X74" s="20">
        <f>K74*'1-Data Input'!$E$11</f>
        <v>0</v>
      </c>
      <c r="Y74" s="20">
        <f>L74*'1-Data Input'!$E$12</f>
        <v>0</v>
      </c>
      <c r="Z74" s="20">
        <f>M74*'1-Data Input'!$E$13</f>
        <v>0</v>
      </c>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row>
    <row r="75" spans="1:56" x14ac:dyDescent="0.25">
      <c r="A75" s="32">
        <v>0.70833333333333304</v>
      </c>
      <c r="B75" s="33">
        <v>0</v>
      </c>
      <c r="C75" s="34">
        <v>8.847095768928722E-3</v>
      </c>
      <c r="D75" s="34">
        <v>3.2381286256768581E-2</v>
      </c>
      <c r="E75" s="34">
        <v>3.7999276435278111E-2</v>
      </c>
      <c r="F75" s="34">
        <v>4.7731940201612325E-2</v>
      </c>
      <c r="G75" s="34">
        <v>5.4504376906632068E-2</v>
      </c>
      <c r="H75" s="34">
        <v>4.9559055693272673E-2</v>
      </c>
      <c r="I75" s="34">
        <v>4.8128480396952604E-2</v>
      </c>
      <c r="J75" s="34">
        <v>3.0399513342050023E-2</v>
      </c>
      <c r="K75" s="34">
        <v>3.1725298910065623E-3</v>
      </c>
      <c r="L75" s="34">
        <v>1.1838036139414081E-3</v>
      </c>
      <c r="M75" s="35">
        <v>0</v>
      </c>
      <c r="N75" s="32">
        <v>0.70833333333333304</v>
      </c>
      <c r="O75" s="20">
        <f>B75*'1-Data Input'!$E$2</f>
        <v>0</v>
      </c>
      <c r="P75" s="20">
        <f>C75*'1-Data Input'!$E$3</f>
        <v>0</v>
      </c>
      <c r="Q75" s="20">
        <f>D75*'1-Data Input'!$E$4</f>
        <v>0</v>
      </c>
      <c r="R75" s="20">
        <f>E75*'1-Data Input'!$E$5</f>
        <v>0</v>
      </c>
      <c r="S75" s="20">
        <f>F75*'1-Data Input'!$E$6</f>
        <v>0</v>
      </c>
      <c r="T75" s="20">
        <f>G75*'1-Data Input'!$E$7</f>
        <v>0</v>
      </c>
      <c r="U75" s="20">
        <f>H75*'1-Data Input'!$E$8</f>
        <v>0</v>
      </c>
      <c r="V75" s="20">
        <f>I75*'1-Data Input'!$E$9</f>
        <v>0</v>
      </c>
      <c r="W75" s="20">
        <f>J75*'1-Data Input'!$E$10</f>
        <v>0</v>
      </c>
      <c r="X75" s="20">
        <f>K75*'1-Data Input'!$E$11</f>
        <v>0</v>
      </c>
      <c r="Y75" s="20">
        <f>L75*'1-Data Input'!$E$12</f>
        <v>0</v>
      </c>
      <c r="Z75" s="20">
        <f>M75*'1-Data Input'!$E$13</f>
        <v>0</v>
      </c>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row>
    <row r="76" spans="1:56" x14ac:dyDescent="0.25">
      <c r="A76" s="32">
        <v>0.75</v>
      </c>
      <c r="B76" s="33">
        <v>0</v>
      </c>
      <c r="C76" s="34">
        <v>0</v>
      </c>
      <c r="D76" s="34">
        <v>2.4223732278026346E-3</v>
      </c>
      <c r="E76" s="34">
        <v>1.0397960557331089E-2</v>
      </c>
      <c r="F76" s="34">
        <v>2.3425442887619295E-2</v>
      </c>
      <c r="G76" s="34">
        <v>2.9780956716911486E-2</v>
      </c>
      <c r="H76" s="34">
        <v>2.8063671500320814E-2</v>
      </c>
      <c r="I76" s="34">
        <v>2.198805168584287E-2</v>
      </c>
      <c r="J76" s="34">
        <v>3.316108653070931E-3</v>
      </c>
      <c r="K76" s="34">
        <v>0</v>
      </c>
      <c r="L76" s="34">
        <v>0</v>
      </c>
      <c r="M76" s="35">
        <v>0</v>
      </c>
      <c r="N76" s="32">
        <v>0.75</v>
      </c>
      <c r="O76" s="20">
        <f>B76*'1-Data Input'!$E$2</f>
        <v>0</v>
      </c>
      <c r="P76" s="20">
        <f>C76*'1-Data Input'!$E$3</f>
        <v>0</v>
      </c>
      <c r="Q76" s="20">
        <f>D76*'1-Data Input'!$E$4</f>
        <v>0</v>
      </c>
      <c r="R76" s="20">
        <f>E76*'1-Data Input'!$E$5</f>
        <v>0</v>
      </c>
      <c r="S76" s="20">
        <f>F76*'1-Data Input'!$E$6</f>
        <v>0</v>
      </c>
      <c r="T76" s="20">
        <f>G76*'1-Data Input'!$E$7</f>
        <v>0</v>
      </c>
      <c r="U76" s="20">
        <f>H76*'1-Data Input'!$E$8</f>
        <v>0</v>
      </c>
      <c r="V76" s="20">
        <f>I76*'1-Data Input'!$E$9</f>
        <v>0</v>
      </c>
      <c r="W76" s="20">
        <f>J76*'1-Data Input'!$E$10</f>
        <v>0</v>
      </c>
      <c r="X76" s="20">
        <f>K76*'1-Data Input'!$E$11</f>
        <v>0</v>
      </c>
      <c r="Y76" s="20">
        <f>L76*'1-Data Input'!$E$12</f>
        <v>0</v>
      </c>
      <c r="Z76" s="20">
        <f>M76*'1-Data Input'!$E$13</f>
        <v>0</v>
      </c>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row>
    <row r="77" spans="1:56" x14ac:dyDescent="0.25">
      <c r="A77" s="32">
        <v>0.79166666666666696</v>
      </c>
      <c r="B77" s="33">
        <v>0</v>
      </c>
      <c r="C77" s="34">
        <v>0</v>
      </c>
      <c r="D77" s="34">
        <v>0</v>
      </c>
      <c r="E77" s="34">
        <v>4.9367993303758226E-5</v>
      </c>
      <c r="F77" s="34">
        <v>4.7197006011514076E-3</v>
      </c>
      <c r="G77" s="34">
        <v>1.1365637876319903E-2</v>
      </c>
      <c r="H77" s="34">
        <v>8.6667190289713893E-3</v>
      </c>
      <c r="I77" s="34">
        <v>3.1736427855304857E-3</v>
      </c>
      <c r="J77" s="34">
        <v>0</v>
      </c>
      <c r="K77" s="34">
        <v>0</v>
      </c>
      <c r="L77" s="34">
        <v>0</v>
      </c>
      <c r="M77" s="35">
        <v>0</v>
      </c>
      <c r="N77" s="32">
        <v>0.79166666666666696</v>
      </c>
      <c r="O77" s="20">
        <f>B77*'1-Data Input'!$E$2</f>
        <v>0</v>
      </c>
      <c r="P77" s="20">
        <f>C77*'1-Data Input'!$E$3</f>
        <v>0</v>
      </c>
      <c r="Q77" s="20">
        <f>D77*'1-Data Input'!$E$4</f>
        <v>0</v>
      </c>
      <c r="R77" s="20">
        <f>E77*'1-Data Input'!$E$5</f>
        <v>0</v>
      </c>
      <c r="S77" s="20">
        <f>F77*'1-Data Input'!$E$6</f>
        <v>0</v>
      </c>
      <c r="T77" s="20">
        <f>G77*'1-Data Input'!$E$7</f>
        <v>0</v>
      </c>
      <c r="U77" s="20">
        <f>H77*'1-Data Input'!$E$8</f>
        <v>0</v>
      </c>
      <c r="V77" s="20">
        <f>I77*'1-Data Input'!$E$9</f>
        <v>0</v>
      </c>
      <c r="W77" s="20">
        <f>J77*'1-Data Input'!$E$10</f>
        <v>0</v>
      </c>
      <c r="X77" s="20">
        <f>K77*'1-Data Input'!$E$11</f>
        <v>0</v>
      </c>
      <c r="Y77" s="20">
        <f>L77*'1-Data Input'!$E$12</f>
        <v>0</v>
      </c>
      <c r="Z77" s="20">
        <f>M77*'1-Data Input'!$E$13</f>
        <v>0</v>
      </c>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row>
    <row r="78" spans="1:56" x14ac:dyDescent="0.25">
      <c r="A78" s="32">
        <v>0.83333333333333304</v>
      </c>
      <c r="B78" s="33">
        <v>0</v>
      </c>
      <c r="C78" s="34">
        <v>0</v>
      </c>
      <c r="D78" s="34">
        <v>0</v>
      </c>
      <c r="E78" s="34">
        <v>0</v>
      </c>
      <c r="F78" s="34">
        <v>0</v>
      </c>
      <c r="G78" s="34">
        <v>5.293301163154969E-4</v>
      </c>
      <c r="H78" s="34">
        <v>2.1326470038061788E-4</v>
      </c>
      <c r="I78" s="34">
        <v>0</v>
      </c>
      <c r="J78" s="34">
        <v>0</v>
      </c>
      <c r="K78" s="34">
        <v>0</v>
      </c>
      <c r="L78" s="34">
        <v>0</v>
      </c>
      <c r="M78" s="35">
        <v>0</v>
      </c>
      <c r="N78" s="32">
        <v>0.83333333333333304</v>
      </c>
      <c r="O78" s="20">
        <f>B78*'1-Data Input'!$E$2</f>
        <v>0</v>
      </c>
      <c r="P78" s="20">
        <f>C78*'1-Data Input'!$E$3</f>
        <v>0</v>
      </c>
      <c r="Q78" s="20">
        <f>D78*'1-Data Input'!$E$4</f>
        <v>0</v>
      </c>
      <c r="R78" s="20">
        <f>E78*'1-Data Input'!$E$5</f>
        <v>0</v>
      </c>
      <c r="S78" s="20">
        <f>F78*'1-Data Input'!$E$6</f>
        <v>0</v>
      </c>
      <c r="T78" s="20">
        <f>G78*'1-Data Input'!$E$7</f>
        <v>0</v>
      </c>
      <c r="U78" s="20">
        <f>H78*'1-Data Input'!$E$8</f>
        <v>0</v>
      </c>
      <c r="V78" s="20">
        <f>I78*'1-Data Input'!$E$9</f>
        <v>0</v>
      </c>
      <c r="W78" s="20">
        <f>J78*'1-Data Input'!$E$10</f>
        <v>0</v>
      </c>
      <c r="X78" s="20">
        <f>K78*'1-Data Input'!$E$11</f>
        <v>0</v>
      </c>
      <c r="Y78" s="20">
        <f>L78*'1-Data Input'!$E$12</f>
        <v>0</v>
      </c>
      <c r="Z78" s="20">
        <f>M78*'1-Data Input'!$E$13</f>
        <v>0</v>
      </c>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row>
    <row r="79" spans="1:56" x14ac:dyDescent="0.25">
      <c r="A79" s="32">
        <v>0.875</v>
      </c>
      <c r="B79" s="33">
        <v>0</v>
      </c>
      <c r="C79" s="34">
        <v>0</v>
      </c>
      <c r="D79" s="34">
        <v>0</v>
      </c>
      <c r="E79" s="34">
        <v>0</v>
      </c>
      <c r="F79" s="34">
        <v>0</v>
      </c>
      <c r="G79" s="34">
        <v>0</v>
      </c>
      <c r="H79" s="34">
        <v>0</v>
      </c>
      <c r="I79" s="34">
        <v>0</v>
      </c>
      <c r="J79" s="34">
        <v>0</v>
      </c>
      <c r="K79" s="34">
        <v>0</v>
      </c>
      <c r="L79" s="34">
        <v>0</v>
      </c>
      <c r="M79" s="35">
        <v>0</v>
      </c>
      <c r="N79" s="32">
        <v>0.875</v>
      </c>
      <c r="O79" s="20">
        <f>B79*'1-Data Input'!$E$2</f>
        <v>0</v>
      </c>
      <c r="P79" s="20">
        <f>C79*'1-Data Input'!$E$3</f>
        <v>0</v>
      </c>
      <c r="Q79" s="20">
        <f>D79*'1-Data Input'!$E$4</f>
        <v>0</v>
      </c>
      <c r="R79" s="20">
        <f>E79*'1-Data Input'!$E$5</f>
        <v>0</v>
      </c>
      <c r="S79" s="20">
        <f>F79*'1-Data Input'!$E$6</f>
        <v>0</v>
      </c>
      <c r="T79" s="20">
        <f>G79*'1-Data Input'!$E$7</f>
        <v>0</v>
      </c>
      <c r="U79" s="20">
        <f>H79*'1-Data Input'!$E$8</f>
        <v>0</v>
      </c>
      <c r="V79" s="20">
        <f>I79*'1-Data Input'!$E$9</f>
        <v>0</v>
      </c>
      <c r="W79" s="20">
        <f>J79*'1-Data Input'!$E$10</f>
        <v>0</v>
      </c>
      <c r="X79" s="20">
        <f>K79*'1-Data Input'!$E$11</f>
        <v>0</v>
      </c>
      <c r="Y79" s="20">
        <f>L79*'1-Data Input'!$E$12</f>
        <v>0</v>
      </c>
      <c r="Z79" s="20">
        <f>M79*'1-Data Input'!$E$13</f>
        <v>0</v>
      </c>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row>
    <row r="80" spans="1:56" x14ac:dyDescent="0.25">
      <c r="A80" s="32">
        <v>0.91666666666666696</v>
      </c>
      <c r="B80" s="33">
        <v>0</v>
      </c>
      <c r="C80" s="34">
        <v>0</v>
      </c>
      <c r="D80" s="34">
        <v>0</v>
      </c>
      <c r="E80" s="34">
        <v>0</v>
      </c>
      <c r="F80" s="34">
        <v>0</v>
      </c>
      <c r="G80" s="34">
        <v>0</v>
      </c>
      <c r="H80" s="34">
        <v>0</v>
      </c>
      <c r="I80" s="34">
        <v>0</v>
      </c>
      <c r="J80" s="34">
        <v>0</v>
      </c>
      <c r="K80" s="34">
        <v>0</v>
      </c>
      <c r="L80" s="34">
        <v>0</v>
      </c>
      <c r="M80" s="35">
        <v>0</v>
      </c>
      <c r="N80" s="32">
        <v>0.91666666666666696</v>
      </c>
      <c r="O80" s="20">
        <f>B80*'1-Data Input'!$E$2</f>
        <v>0</v>
      </c>
      <c r="P80" s="20">
        <f>C80*'1-Data Input'!$E$3</f>
        <v>0</v>
      </c>
      <c r="Q80" s="20">
        <f>D80*'1-Data Input'!$E$4</f>
        <v>0</v>
      </c>
      <c r="R80" s="20">
        <f>E80*'1-Data Input'!$E$5</f>
        <v>0</v>
      </c>
      <c r="S80" s="20">
        <f>F80*'1-Data Input'!$E$6</f>
        <v>0</v>
      </c>
      <c r="T80" s="20">
        <f>G80*'1-Data Input'!$E$7</f>
        <v>0</v>
      </c>
      <c r="U80" s="20">
        <f>H80*'1-Data Input'!$E$8</f>
        <v>0</v>
      </c>
      <c r="V80" s="20">
        <f>I80*'1-Data Input'!$E$9</f>
        <v>0</v>
      </c>
      <c r="W80" s="20">
        <f>J80*'1-Data Input'!$E$10</f>
        <v>0</v>
      </c>
      <c r="X80" s="20">
        <f>K80*'1-Data Input'!$E$11</f>
        <v>0</v>
      </c>
      <c r="Y80" s="20">
        <f>L80*'1-Data Input'!$E$12</f>
        <v>0</v>
      </c>
      <c r="Z80" s="20">
        <f>M80*'1-Data Input'!$E$13</f>
        <v>0</v>
      </c>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row>
    <row r="81" spans="1:56" ht="15.75" thickBot="1" x14ac:dyDescent="0.3">
      <c r="A81" s="32">
        <v>0.95833333333333304</v>
      </c>
      <c r="B81" s="36">
        <v>0</v>
      </c>
      <c r="C81" s="37">
        <v>0</v>
      </c>
      <c r="D81" s="37">
        <v>0</v>
      </c>
      <c r="E81" s="37">
        <v>0</v>
      </c>
      <c r="F81" s="37">
        <v>0</v>
      </c>
      <c r="G81" s="37">
        <v>0</v>
      </c>
      <c r="H81" s="37">
        <v>0</v>
      </c>
      <c r="I81" s="37">
        <v>0</v>
      </c>
      <c r="J81" s="37">
        <v>0</v>
      </c>
      <c r="K81" s="37">
        <v>0</v>
      </c>
      <c r="L81" s="37">
        <v>0</v>
      </c>
      <c r="M81" s="38">
        <v>0</v>
      </c>
      <c r="N81" s="39">
        <v>0.95833333333333304</v>
      </c>
      <c r="O81" s="20">
        <f>B81*'1-Data Input'!$E$2</f>
        <v>0</v>
      </c>
      <c r="P81" s="20">
        <f>C81*'1-Data Input'!$E$3</f>
        <v>0</v>
      </c>
      <c r="Q81" s="20">
        <f>D81*'1-Data Input'!$E$4</f>
        <v>0</v>
      </c>
      <c r="R81" s="20">
        <f>E81*'1-Data Input'!$E$5</f>
        <v>0</v>
      </c>
      <c r="S81" s="20">
        <f>F81*'1-Data Input'!$E$6</f>
        <v>0</v>
      </c>
      <c r="T81" s="20">
        <f>G81*'1-Data Input'!$E$7</f>
        <v>0</v>
      </c>
      <c r="U81" s="20">
        <f>H81*'1-Data Input'!$E$8</f>
        <v>0</v>
      </c>
      <c r="V81" s="20">
        <f>I81*'1-Data Input'!$E$9</f>
        <v>0</v>
      </c>
      <c r="W81" s="20">
        <f>J81*'1-Data Input'!$E$10</f>
        <v>0</v>
      </c>
      <c r="X81" s="20">
        <f>K81*'1-Data Input'!$E$11</f>
        <v>0</v>
      </c>
      <c r="Y81" s="20">
        <f>L81*'1-Data Input'!$E$12</f>
        <v>0</v>
      </c>
      <c r="Z81" s="20">
        <f>M81*'1-Data Input'!$E$13</f>
        <v>0</v>
      </c>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row>
    <row r="82" spans="1:56" ht="26.25" x14ac:dyDescent="0.25">
      <c r="A82" s="73" t="s">
        <v>34</v>
      </c>
      <c r="B82" s="73"/>
      <c r="C82" s="73"/>
      <c r="D82" s="73"/>
      <c r="E82" s="73"/>
      <c r="F82" s="73"/>
      <c r="G82" s="71" t="s">
        <v>57</v>
      </c>
      <c r="H82" s="71"/>
      <c r="I82" s="71"/>
      <c r="J82" s="71"/>
      <c r="K82" s="71"/>
      <c r="L82" s="71"/>
      <c r="M82" s="71"/>
      <c r="N82" s="71"/>
      <c r="O82" s="71"/>
      <c r="P82" s="71"/>
      <c r="Q82" s="71"/>
      <c r="R82" s="71"/>
      <c r="S82" s="71"/>
      <c r="T82" s="71"/>
      <c r="U82" s="71"/>
      <c r="V82" s="71"/>
      <c r="W82" s="71"/>
      <c r="X82" s="71"/>
      <c r="Y82" s="71"/>
      <c r="Z82" s="72"/>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row>
    <row r="83" spans="1:56" ht="33.75" x14ac:dyDescent="0.5">
      <c r="A83" s="67" t="s">
        <v>35</v>
      </c>
      <c r="B83" s="67"/>
      <c r="C83" s="67"/>
      <c r="D83" s="67"/>
      <c r="E83" s="67"/>
      <c r="F83" s="67"/>
      <c r="G83" s="67"/>
      <c r="H83" s="67"/>
      <c r="I83" s="67"/>
      <c r="J83" s="67"/>
      <c r="K83" s="67"/>
      <c r="L83" s="67"/>
      <c r="M83" s="68"/>
      <c r="N83" s="69" t="s">
        <v>36</v>
      </c>
      <c r="O83" s="69"/>
      <c r="P83" s="69"/>
      <c r="Q83" s="69"/>
      <c r="R83" s="69"/>
      <c r="S83" s="69"/>
      <c r="T83" s="69"/>
      <c r="U83" s="69"/>
      <c r="V83" s="69"/>
      <c r="W83" s="69"/>
      <c r="X83" s="69"/>
      <c r="Y83" s="69"/>
      <c r="Z83" s="69"/>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row>
    <row r="84" spans="1:56" ht="46.5" x14ac:dyDescent="0.25">
      <c r="A84" s="28" t="s">
        <v>30</v>
      </c>
      <c r="B84" s="29" t="s">
        <v>16</v>
      </c>
      <c r="C84" s="29" t="s">
        <v>17</v>
      </c>
      <c r="D84" s="29" t="s">
        <v>18</v>
      </c>
      <c r="E84" s="29" t="s">
        <v>19</v>
      </c>
      <c r="F84" s="29" t="s">
        <v>4</v>
      </c>
      <c r="G84" s="29" t="s">
        <v>20</v>
      </c>
      <c r="H84" s="29" t="s">
        <v>21</v>
      </c>
      <c r="I84" s="29" t="s">
        <v>22</v>
      </c>
      <c r="J84" s="29" t="s">
        <v>23</v>
      </c>
      <c r="K84" s="29" t="s">
        <v>24</v>
      </c>
      <c r="L84" s="29" t="s">
        <v>25</v>
      </c>
      <c r="M84" s="30" t="s">
        <v>26</v>
      </c>
      <c r="N84" s="40" t="s">
        <v>30</v>
      </c>
      <c r="O84" s="40" t="s">
        <v>16</v>
      </c>
      <c r="P84" s="40" t="s">
        <v>17</v>
      </c>
      <c r="Q84" s="40" t="s">
        <v>18</v>
      </c>
      <c r="R84" s="40" t="s">
        <v>19</v>
      </c>
      <c r="S84" s="40" t="s">
        <v>4</v>
      </c>
      <c r="T84" s="40" t="s">
        <v>20</v>
      </c>
      <c r="U84" s="40" t="s">
        <v>21</v>
      </c>
      <c r="V84" s="40" t="s">
        <v>22</v>
      </c>
      <c r="W84" s="40" t="s">
        <v>23</v>
      </c>
      <c r="X84" s="40" t="s">
        <v>24</v>
      </c>
      <c r="Y84" s="40" t="s">
        <v>25</v>
      </c>
      <c r="Z84" s="40" t="s">
        <v>26</v>
      </c>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row>
    <row r="85" spans="1:56" x14ac:dyDescent="0.25">
      <c r="A85" s="32">
        <v>0</v>
      </c>
      <c r="B85" s="33">
        <v>0</v>
      </c>
      <c r="C85" s="34">
        <v>0</v>
      </c>
      <c r="D85" s="34">
        <v>0</v>
      </c>
      <c r="E85" s="34">
        <v>0</v>
      </c>
      <c r="F85" s="34">
        <v>0</v>
      </c>
      <c r="G85" s="34">
        <v>0</v>
      </c>
      <c r="H85" s="34">
        <v>0</v>
      </c>
      <c r="I85" s="34">
        <v>0</v>
      </c>
      <c r="J85" s="34">
        <v>0</v>
      </c>
      <c r="K85" s="34">
        <v>0</v>
      </c>
      <c r="L85" s="34">
        <v>0</v>
      </c>
      <c r="M85" s="35">
        <v>0</v>
      </c>
      <c r="N85" s="32">
        <v>0</v>
      </c>
      <c r="O85" s="41">
        <f>B85*'1-Data Input'!$D$2</f>
        <v>0</v>
      </c>
      <c r="P85" s="41">
        <f>C85*'1-Data Input'!$D$3</f>
        <v>0</v>
      </c>
      <c r="Q85" s="41">
        <f>D85*'1-Data Input'!$D$4</f>
        <v>0</v>
      </c>
      <c r="R85" s="41">
        <f>E85*'1-Data Input'!$D$5</f>
        <v>0</v>
      </c>
      <c r="S85" s="41">
        <f>F85*'1-Data Input'!$D$6</f>
        <v>0</v>
      </c>
      <c r="T85" s="41">
        <f>G85*'1-Data Input'!$D$7</f>
        <v>0</v>
      </c>
      <c r="U85" s="41">
        <f>H85*'1-Data Input'!$D$8</f>
        <v>0</v>
      </c>
      <c r="V85" s="41">
        <f>I85*'1-Data Input'!$D$9</f>
        <v>0</v>
      </c>
      <c r="W85" s="41">
        <f>J85*'1-Data Input'!$D$10</f>
        <v>0</v>
      </c>
      <c r="X85" s="41">
        <f>K85*'1-Data Input'!$D$11</f>
        <v>0</v>
      </c>
      <c r="Y85" s="41">
        <f>L85*'1-Data Input'!$D$12</f>
        <v>0</v>
      </c>
      <c r="Z85" s="41">
        <f>M85*'1-Data Input'!$D$13</f>
        <v>0</v>
      </c>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row>
    <row r="86" spans="1:56" x14ac:dyDescent="0.25">
      <c r="A86" s="32">
        <v>4.1666666666666699E-2</v>
      </c>
      <c r="B86" s="33">
        <v>0</v>
      </c>
      <c r="C86" s="34">
        <v>0</v>
      </c>
      <c r="D86" s="34">
        <v>0</v>
      </c>
      <c r="E86" s="34">
        <v>0</v>
      </c>
      <c r="F86" s="34">
        <v>0</v>
      </c>
      <c r="G86" s="34">
        <v>0</v>
      </c>
      <c r="H86" s="34">
        <v>0</v>
      </c>
      <c r="I86" s="34">
        <v>0</v>
      </c>
      <c r="J86" s="34">
        <v>0</v>
      </c>
      <c r="K86" s="34">
        <v>0</v>
      </c>
      <c r="L86" s="34">
        <v>0</v>
      </c>
      <c r="M86" s="35">
        <v>0</v>
      </c>
      <c r="N86" s="32">
        <v>4.1666666666666699E-2</v>
      </c>
      <c r="O86" s="20">
        <f>B86*'1-Data Input'!$D$2</f>
        <v>0</v>
      </c>
      <c r="P86" s="20">
        <f>C86*'1-Data Input'!$D$3</f>
        <v>0</v>
      </c>
      <c r="Q86" s="20">
        <f>D86*'1-Data Input'!$D$4</f>
        <v>0</v>
      </c>
      <c r="R86" s="20">
        <f>E86*'1-Data Input'!$D$5</f>
        <v>0</v>
      </c>
      <c r="S86" s="20">
        <f>F86*'1-Data Input'!$D$6</f>
        <v>0</v>
      </c>
      <c r="T86" s="20">
        <f>G86*'1-Data Input'!$D$7</f>
        <v>0</v>
      </c>
      <c r="U86" s="20">
        <f>H86*'1-Data Input'!$D$8</f>
        <v>0</v>
      </c>
      <c r="V86" s="20">
        <f>I86*'1-Data Input'!$D$9</f>
        <v>0</v>
      </c>
      <c r="W86" s="20">
        <f>J86*'1-Data Input'!$D$10</f>
        <v>0</v>
      </c>
      <c r="X86" s="20">
        <f>K86*'1-Data Input'!$D$11</f>
        <v>0</v>
      </c>
      <c r="Y86" s="20">
        <f>L86*'1-Data Input'!$D$12</f>
        <v>0</v>
      </c>
      <c r="Z86" s="21">
        <f>M86*'1-Data Input'!$D$13</f>
        <v>0</v>
      </c>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row>
    <row r="87" spans="1:56" x14ac:dyDescent="0.25">
      <c r="A87" s="32">
        <v>8.3333333333333301E-2</v>
      </c>
      <c r="B87" s="33">
        <v>0</v>
      </c>
      <c r="C87" s="34">
        <v>0</v>
      </c>
      <c r="D87" s="34">
        <v>0</v>
      </c>
      <c r="E87" s="34">
        <v>0</v>
      </c>
      <c r="F87" s="34">
        <v>0</v>
      </c>
      <c r="G87" s="34">
        <v>0</v>
      </c>
      <c r="H87" s="34">
        <v>0</v>
      </c>
      <c r="I87" s="34">
        <v>0</v>
      </c>
      <c r="J87" s="34">
        <v>0</v>
      </c>
      <c r="K87" s="34">
        <v>0</v>
      </c>
      <c r="L87" s="34">
        <v>0</v>
      </c>
      <c r="M87" s="35">
        <v>0</v>
      </c>
      <c r="N87" s="32">
        <v>8.3333333333333301E-2</v>
      </c>
      <c r="O87" s="20">
        <f>B87*'1-Data Input'!$D$2</f>
        <v>0</v>
      </c>
      <c r="P87" s="20">
        <f>C87*'1-Data Input'!$D$3</f>
        <v>0</v>
      </c>
      <c r="Q87" s="20">
        <f>D87*'1-Data Input'!$D$4</f>
        <v>0</v>
      </c>
      <c r="R87" s="20">
        <f>E87*'1-Data Input'!$D$5</f>
        <v>0</v>
      </c>
      <c r="S87" s="20">
        <f>F87*'1-Data Input'!$D$6</f>
        <v>0</v>
      </c>
      <c r="T87" s="20">
        <f>G87*'1-Data Input'!$D$7</f>
        <v>0</v>
      </c>
      <c r="U87" s="20">
        <f>H87*'1-Data Input'!$D$8</f>
        <v>0</v>
      </c>
      <c r="V87" s="20">
        <f>I87*'1-Data Input'!$D$9</f>
        <v>0</v>
      </c>
      <c r="W87" s="20">
        <f>J87*'1-Data Input'!$D$10</f>
        <v>0</v>
      </c>
      <c r="X87" s="20">
        <f>K87*'1-Data Input'!$D$11</f>
        <v>0</v>
      </c>
      <c r="Y87" s="20">
        <f>L87*'1-Data Input'!$D$12</f>
        <v>0</v>
      </c>
      <c r="Z87" s="21">
        <f>M87*'1-Data Input'!$D$13</f>
        <v>0</v>
      </c>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row>
    <row r="88" spans="1:56" x14ac:dyDescent="0.25">
      <c r="A88" s="32">
        <v>0.125</v>
      </c>
      <c r="B88" s="33">
        <v>0</v>
      </c>
      <c r="C88" s="34">
        <v>0</v>
      </c>
      <c r="D88" s="34">
        <v>0</v>
      </c>
      <c r="E88" s="34">
        <v>0</v>
      </c>
      <c r="F88" s="34">
        <v>0</v>
      </c>
      <c r="G88" s="34">
        <v>0</v>
      </c>
      <c r="H88" s="34">
        <v>0</v>
      </c>
      <c r="I88" s="34">
        <v>0</v>
      </c>
      <c r="J88" s="34">
        <v>0</v>
      </c>
      <c r="K88" s="34">
        <v>0</v>
      </c>
      <c r="L88" s="34">
        <v>0</v>
      </c>
      <c r="M88" s="35">
        <v>0</v>
      </c>
      <c r="N88" s="32">
        <v>0.125</v>
      </c>
      <c r="O88" s="20">
        <f>B88*'1-Data Input'!$D$2</f>
        <v>0</v>
      </c>
      <c r="P88" s="20">
        <f>C88*'1-Data Input'!$D$3</f>
        <v>0</v>
      </c>
      <c r="Q88" s="20">
        <f>D88*'1-Data Input'!$D$4</f>
        <v>0</v>
      </c>
      <c r="R88" s="20">
        <f>E88*'1-Data Input'!$D$5</f>
        <v>0</v>
      </c>
      <c r="S88" s="20">
        <f>F88*'1-Data Input'!$D$6</f>
        <v>0</v>
      </c>
      <c r="T88" s="20">
        <f>G88*'1-Data Input'!$D$7</f>
        <v>0</v>
      </c>
      <c r="U88" s="20">
        <f>H88*'1-Data Input'!$D$8</f>
        <v>0</v>
      </c>
      <c r="V88" s="20">
        <f>I88*'1-Data Input'!$D$9</f>
        <v>0</v>
      </c>
      <c r="W88" s="20">
        <f>J88*'1-Data Input'!$D$10</f>
        <v>0</v>
      </c>
      <c r="X88" s="20">
        <f>K88*'1-Data Input'!$D$11</f>
        <v>0</v>
      </c>
      <c r="Y88" s="20">
        <f>L88*'1-Data Input'!$D$12</f>
        <v>0</v>
      </c>
      <c r="Z88" s="21">
        <f>M88*'1-Data Input'!$D$13</f>
        <v>0</v>
      </c>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row>
    <row r="89" spans="1:56" x14ac:dyDescent="0.25">
      <c r="A89" s="32">
        <v>0.16666666666666699</v>
      </c>
      <c r="B89" s="33">
        <v>0</v>
      </c>
      <c r="C89" s="34">
        <v>0</v>
      </c>
      <c r="D89" s="34">
        <v>0</v>
      </c>
      <c r="E89" s="34">
        <v>0</v>
      </c>
      <c r="F89" s="34">
        <v>0</v>
      </c>
      <c r="G89" s="34">
        <v>0</v>
      </c>
      <c r="H89" s="34">
        <v>0</v>
      </c>
      <c r="I89" s="34">
        <v>0</v>
      </c>
      <c r="J89" s="34">
        <v>0</v>
      </c>
      <c r="K89" s="34">
        <v>0</v>
      </c>
      <c r="L89" s="34">
        <v>0</v>
      </c>
      <c r="M89" s="35">
        <v>0</v>
      </c>
      <c r="N89" s="32">
        <v>0.16666666666666699</v>
      </c>
      <c r="O89" s="20">
        <f>B89*'1-Data Input'!$D$2</f>
        <v>0</v>
      </c>
      <c r="P89" s="20">
        <f>C89*'1-Data Input'!$D$3</f>
        <v>0</v>
      </c>
      <c r="Q89" s="20">
        <f>D89*'1-Data Input'!$D$4</f>
        <v>0</v>
      </c>
      <c r="R89" s="20">
        <f>E89*'1-Data Input'!$D$5</f>
        <v>0</v>
      </c>
      <c r="S89" s="20">
        <f>F89*'1-Data Input'!$D$6</f>
        <v>0</v>
      </c>
      <c r="T89" s="20">
        <f>G89*'1-Data Input'!$D$7</f>
        <v>0</v>
      </c>
      <c r="U89" s="20">
        <f>H89*'1-Data Input'!$D$8</f>
        <v>0</v>
      </c>
      <c r="V89" s="20">
        <f>I89*'1-Data Input'!$D$9</f>
        <v>0</v>
      </c>
      <c r="W89" s="20">
        <f>J89*'1-Data Input'!$D$10</f>
        <v>0</v>
      </c>
      <c r="X89" s="20">
        <f>K89*'1-Data Input'!$D$11</f>
        <v>0</v>
      </c>
      <c r="Y89" s="20">
        <f>L89*'1-Data Input'!$D$12</f>
        <v>0</v>
      </c>
      <c r="Z89" s="21">
        <f>M89*'1-Data Input'!$D$13</f>
        <v>0</v>
      </c>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row>
    <row r="90" spans="1:56" x14ac:dyDescent="0.25">
      <c r="A90" s="32">
        <v>0.20833333333333301</v>
      </c>
      <c r="B90" s="33">
        <v>0</v>
      </c>
      <c r="C90" s="34">
        <v>0</v>
      </c>
      <c r="D90" s="34">
        <v>0</v>
      </c>
      <c r="E90" s="34">
        <v>0</v>
      </c>
      <c r="F90" s="34">
        <v>1.6694640580567559E-3</v>
      </c>
      <c r="G90" s="34">
        <v>6.6202878738384199E-3</v>
      </c>
      <c r="H90" s="34">
        <v>1.9306895124927878E-3</v>
      </c>
      <c r="I90" s="34">
        <v>0</v>
      </c>
      <c r="J90" s="34">
        <v>0</v>
      </c>
      <c r="K90" s="34">
        <v>0</v>
      </c>
      <c r="L90" s="34">
        <v>0</v>
      </c>
      <c r="M90" s="35">
        <v>0</v>
      </c>
      <c r="N90" s="32">
        <v>0.20833333333333301</v>
      </c>
      <c r="O90" s="20">
        <f>B90*'1-Data Input'!$D$2</f>
        <v>0</v>
      </c>
      <c r="P90" s="20">
        <f>C90*'1-Data Input'!$D$3</f>
        <v>0</v>
      </c>
      <c r="Q90" s="20">
        <f>D90*'1-Data Input'!$D$4</f>
        <v>0</v>
      </c>
      <c r="R90" s="20">
        <f>E90*'1-Data Input'!$D$5</f>
        <v>0</v>
      </c>
      <c r="S90" s="20">
        <f>F90*'1-Data Input'!$D$6</f>
        <v>0</v>
      </c>
      <c r="T90" s="20">
        <f>G90*'1-Data Input'!$D$7</f>
        <v>0</v>
      </c>
      <c r="U90" s="20">
        <f>H90*'1-Data Input'!$D$8</f>
        <v>0</v>
      </c>
      <c r="V90" s="20">
        <f>I90*'1-Data Input'!$D$9</f>
        <v>0</v>
      </c>
      <c r="W90" s="20">
        <f>J90*'1-Data Input'!$D$10</f>
        <v>0</v>
      </c>
      <c r="X90" s="20">
        <f>K90*'1-Data Input'!$D$11</f>
        <v>0</v>
      </c>
      <c r="Y90" s="20">
        <f>L90*'1-Data Input'!$D$12</f>
        <v>0</v>
      </c>
      <c r="Z90" s="21">
        <f>M90*'1-Data Input'!$D$13</f>
        <v>0</v>
      </c>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row>
    <row r="91" spans="1:56" x14ac:dyDescent="0.25">
      <c r="A91" s="32">
        <v>0.25</v>
      </c>
      <c r="B91" s="33">
        <v>0</v>
      </c>
      <c r="C91" s="34">
        <v>0</v>
      </c>
      <c r="D91" s="34">
        <v>0</v>
      </c>
      <c r="E91" s="34">
        <v>4.0167692000775447E-3</v>
      </c>
      <c r="F91" s="34">
        <v>1.6239159338844671E-2</v>
      </c>
      <c r="G91" s="34">
        <v>2.0198459304062624E-2</v>
      </c>
      <c r="H91" s="34">
        <v>1.5534042651493348E-2</v>
      </c>
      <c r="I91" s="34">
        <v>8.5460550299728995E-3</v>
      </c>
      <c r="J91" s="34">
        <v>6.8591950156833903E-5</v>
      </c>
      <c r="K91" s="34">
        <v>0</v>
      </c>
      <c r="L91" s="34">
        <v>0</v>
      </c>
      <c r="M91" s="35">
        <v>0</v>
      </c>
      <c r="N91" s="32">
        <v>0.25</v>
      </c>
      <c r="O91" s="20">
        <f>B91*'1-Data Input'!$D$2</f>
        <v>0</v>
      </c>
      <c r="P91" s="20">
        <f>C91*'1-Data Input'!$D$3</f>
        <v>0</v>
      </c>
      <c r="Q91" s="20">
        <f>D91*'1-Data Input'!$D$4</f>
        <v>0</v>
      </c>
      <c r="R91" s="20">
        <f>E91*'1-Data Input'!$D$5</f>
        <v>0</v>
      </c>
      <c r="S91" s="20">
        <f>F91*'1-Data Input'!$D$6</f>
        <v>0</v>
      </c>
      <c r="T91" s="20">
        <f>G91*'1-Data Input'!$D$7</f>
        <v>0</v>
      </c>
      <c r="U91" s="20">
        <f>H91*'1-Data Input'!$D$8</f>
        <v>0</v>
      </c>
      <c r="V91" s="20">
        <f>I91*'1-Data Input'!$D$9</f>
        <v>0</v>
      </c>
      <c r="W91" s="20">
        <f>J91*'1-Data Input'!$D$10</f>
        <v>0</v>
      </c>
      <c r="X91" s="20">
        <f>K91*'1-Data Input'!$D$11</f>
        <v>0</v>
      </c>
      <c r="Y91" s="20">
        <f>L91*'1-Data Input'!$D$12</f>
        <v>0</v>
      </c>
      <c r="Z91" s="21">
        <f>M91*'1-Data Input'!$D$13</f>
        <v>0</v>
      </c>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row>
    <row r="92" spans="1:56" x14ac:dyDescent="0.25">
      <c r="A92" s="32">
        <v>0.29166666666666702</v>
      </c>
      <c r="B92" s="33">
        <v>0</v>
      </c>
      <c r="C92" s="34">
        <v>0</v>
      </c>
      <c r="D92" s="34">
        <v>5.9357522844538232E-3</v>
      </c>
      <c r="E92" s="34">
        <v>2.7567730413013688E-2</v>
      </c>
      <c r="F92" s="34">
        <v>4.243639891895274E-2</v>
      </c>
      <c r="G92" s="34">
        <v>4.5794581917634608E-2</v>
      </c>
      <c r="H92" s="34">
        <v>4.0167482656000994E-2</v>
      </c>
      <c r="I92" s="34">
        <v>3.5338461569119475E-2</v>
      </c>
      <c r="J92" s="34">
        <v>1.8307960010372788E-2</v>
      </c>
      <c r="K92" s="34">
        <v>2.8633053690985777E-3</v>
      </c>
      <c r="L92" s="34">
        <v>8.9330427315130326E-4</v>
      </c>
      <c r="M92" s="35">
        <v>0</v>
      </c>
      <c r="N92" s="32">
        <v>0.29166666666666702</v>
      </c>
      <c r="O92" s="20">
        <f>B92*'1-Data Input'!$D$2</f>
        <v>0</v>
      </c>
      <c r="P92" s="20">
        <f>C92*'1-Data Input'!$D$3</f>
        <v>0</v>
      </c>
      <c r="Q92" s="20">
        <f>D92*'1-Data Input'!$D$4</f>
        <v>0</v>
      </c>
      <c r="R92" s="20">
        <f>E92*'1-Data Input'!$D$5</f>
        <v>0</v>
      </c>
      <c r="S92" s="20">
        <f>F92*'1-Data Input'!$D$6</f>
        <v>0</v>
      </c>
      <c r="T92" s="20">
        <f>G92*'1-Data Input'!$D$7</f>
        <v>0</v>
      </c>
      <c r="U92" s="20">
        <f>H92*'1-Data Input'!$D$8</f>
        <v>0</v>
      </c>
      <c r="V92" s="20">
        <f>I92*'1-Data Input'!$D$9</f>
        <v>0</v>
      </c>
      <c r="W92" s="20">
        <f>J92*'1-Data Input'!$D$10</f>
        <v>0</v>
      </c>
      <c r="X92" s="20">
        <f>K92*'1-Data Input'!$D$11</f>
        <v>0</v>
      </c>
      <c r="Y92" s="20">
        <f>L92*'1-Data Input'!$D$12</f>
        <v>0</v>
      </c>
      <c r="Z92" s="21">
        <f>M92*'1-Data Input'!$D$13</f>
        <v>0</v>
      </c>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row>
    <row r="93" spans="1:56" x14ac:dyDescent="0.25">
      <c r="A93" s="32">
        <v>0.33333333333333298</v>
      </c>
      <c r="B93" s="33">
        <v>0</v>
      </c>
      <c r="C93" s="34">
        <v>5.4723382891230937E-3</v>
      </c>
      <c r="D93" s="34">
        <v>3.6925595528140377E-2</v>
      </c>
      <c r="E93" s="34">
        <v>5.9886226972899838E-2</v>
      </c>
      <c r="F93" s="34">
        <v>7.1021361330620342E-2</v>
      </c>
      <c r="G93" s="34">
        <v>6.970554975586897E-2</v>
      </c>
      <c r="H93" s="34">
        <v>6.4916539644942942E-2</v>
      </c>
      <c r="I93" s="34">
        <v>6.4866110846268824E-2</v>
      </c>
      <c r="J93" s="34">
        <v>5.0210941705601045E-2</v>
      </c>
      <c r="K93" s="34">
        <v>3.6782153109793533E-2</v>
      </c>
      <c r="L93" s="34">
        <v>1.8917530912193514E-2</v>
      </c>
      <c r="M93" s="35">
        <v>6.3451586863049157E-3</v>
      </c>
      <c r="N93" s="32">
        <v>0.33333333333333298</v>
      </c>
      <c r="O93" s="20">
        <f>B93*'1-Data Input'!$D$2</f>
        <v>0</v>
      </c>
      <c r="P93" s="20">
        <f>C93*'1-Data Input'!$D$3</f>
        <v>0</v>
      </c>
      <c r="Q93" s="20">
        <f>D93*'1-Data Input'!$D$4</f>
        <v>0</v>
      </c>
      <c r="R93" s="20">
        <f>E93*'1-Data Input'!$D$5</f>
        <v>0</v>
      </c>
      <c r="S93" s="20">
        <f>F93*'1-Data Input'!$D$6</f>
        <v>0</v>
      </c>
      <c r="T93" s="20">
        <f>G93*'1-Data Input'!$D$7</f>
        <v>0</v>
      </c>
      <c r="U93" s="20">
        <f>H93*'1-Data Input'!$D$8</f>
        <v>0</v>
      </c>
      <c r="V93" s="20">
        <f>I93*'1-Data Input'!$D$9</f>
        <v>0</v>
      </c>
      <c r="W93" s="20">
        <f>J93*'1-Data Input'!$D$10</f>
        <v>0</v>
      </c>
      <c r="X93" s="20">
        <f>K93*'1-Data Input'!$D$11</f>
        <v>0</v>
      </c>
      <c r="Y93" s="20">
        <f>L93*'1-Data Input'!$D$12</f>
        <v>0</v>
      </c>
      <c r="Z93" s="21">
        <f>M93*'1-Data Input'!$D$13</f>
        <v>0</v>
      </c>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row>
    <row r="94" spans="1:56" x14ac:dyDescent="0.25">
      <c r="A94" s="32">
        <v>0.375</v>
      </c>
      <c r="B94" s="33">
        <v>2.2603021938131643E-2</v>
      </c>
      <c r="C94" s="34">
        <v>4.9162935257794367E-2</v>
      </c>
      <c r="D94" s="34">
        <v>7.6237311982417746E-2</v>
      </c>
      <c r="E94" s="34">
        <v>9.0771843875691663E-2</v>
      </c>
      <c r="F94" s="34">
        <v>9.2683636453649354E-2</v>
      </c>
      <c r="G94" s="34">
        <v>8.9369118782157295E-2</v>
      </c>
      <c r="H94" s="34">
        <v>8.9106655620728933E-2</v>
      </c>
      <c r="I94" s="34">
        <v>9.0597643923895702E-2</v>
      </c>
      <c r="J94" s="34">
        <v>8.639176062938092E-2</v>
      </c>
      <c r="K94" s="34">
        <v>8.7049797775210755E-2</v>
      </c>
      <c r="L94" s="34">
        <v>7.2839329074133194E-2</v>
      </c>
      <c r="M94" s="35">
        <v>4.600588410392726E-2</v>
      </c>
      <c r="N94" s="32">
        <v>0.375</v>
      </c>
      <c r="O94" s="20">
        <f>B94*'1-Data Input'!$D$2</f>
        <v>0</v>
      </c>
      <c r="P94" s="20">
        <f>C94*'1-Data Input'!$D$3</f>
        <v>0</v>
      </c>
      <c r="Q94" s="20">
        <f>D94*'1-Data Input'!$D$4</f>
        <v>0</v>
      </c>
      <c r="R94" s="20">
        <f>E94*'1-Data Input'!$D$5</f>
        <v>0</v>
      </c>
      <c r="S94" s="20">
        <f>F94*'1-Data Input'!$D$6</f>
        <v>0</v>
      </c>
      <c r="T94" s="20">
        <f>G94*'1-Data Input'!$D$7</f>
        <v>0</v>
      </c>
      <c r="U94" s="20">
        <f>H94*'1-Data Input'!$D$8</f>
        <v>0</v>
      </c>
      <c r="V94" s="20">
        <f>I94*'1-Data Input'!$D$9</f>
        <v>0</v>
      </c>
      <c r="W94" s="20">
        <f>J94*'1-Data Input'!$D$10</f>
        <v>0</v>
      </c>
      <c r="X94" s="20">
        <f>K94*'1-Data Input'!$D$11</f>
        <v>0</v>
      </c>
      <c r="Y94" s="20">
        <f>L94*'1-Data Input'!$D$12</f>
        <v>0</v>
      </c>
      <c r="Z94" s="21">
        <f>M94*'1-Data Input'!$D$13</f>
        <v>0</v>
      </c>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row>
    <row r="95" spans="1:56" x14ac:dyDescent="0.25">
      <c r="A95" s="32">
        <v>0.41666666666666702</v>
      </c>
      <c r="B95" s="33">
        <v>0.11875714792995477</v>
      </c>
      <c r="C95" s="34">
        <v>9.3211643899761235E-2</v>
      </c>
      <c r="D95" s="34">
        <v>0.10586584536746421</v>
      </c>
      <c r="E95" s="34">
        <v>0.1083398409899977</v>
      </c>
      <c r="F95" s="34">
        <v>0.11060387399641511</v>
      </c>
      <c r="G95" s="34">
        <v>0.1035544691863293</v>
      </c>
      <c r="H95" s="34">
        <v>0.10735759042875659</v>
      </c>
      <c r="I95" s="34">
        <v>0.1050130425221293</v>
      </c>
      <c r="J95" s="34">
        <v>0.10802933063463008</v>
      </c>
      <c r="K95" s="34">
        <v>0.13277957017857792</v>
      </c>
      <c r="L95" s="34">
        <v>0.13443926119731192</v>
      </c>
      <c r="M95" s="35">
        <v>0.11370771502494723</v>
      </c>
      <c r="N95" s="32">
        <v>0.41666666666666702</v>
      </c>
      <c r="O95" s="20">
        <f>B95*'1-Data Input'!$D$2</f>
        <v>0</v>
      </c>
      <c r="P95" s="20">
        <f>C95*'1-Data Input'!$D$3</f>
        <v>0</v>
      </c>
      <c r="Q95" s="20">
        <f>D95*'1-Data Input'!$D$4</f>
        <v>0</v>
      </c>
      <c r="R95" s="20">
        <f>E95*'1-Data Input'!$D$5</f>
        <v>0</v>
      </c>
      <c r="S95" s="20">
        <f>F95*'1-Data Input'!$D$6</f>
        <v>0</v>
      </c>
      <c r="T95" s="20">
        <f>G95*'1-Data Input'!$D$7</f>
        <v>0</v>
      </c>
      <c r="U95" s="20">
        <f>H95*'1-Data Input'!$D$8</f>
        <v>0</v>
      </c>
      <c r="V95" s="20">
        <f>I95*'1-Data Input'!$D$9</f>
        <v>0</v>
      </c>
      <c r="W95" s="20">
        <f>J95*'1-Data Input'!$D$10</f>
        <v>0</v>
      </c>
      <c r="X95" s="20">
        <f>K95*'1-Data Input'!$D$11</f>
        <v>0</v>
      </c>
      <c r="Y95" s="20">
        <f>L95*'1-Data Input'!$D$12</f>
        <v>0</v>
      </c>
      <c r="Z95" s="21">
        <f>M95*'1-Data Input'!$D$13</f>
        <v>0</v>
      </c>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row>
    <row r="96" spans="1:56" x14ac:dyDescent="0.25">
      <c r="A96" s="32">
        <v>0.45833333333333298</v>
      </c>
      <c r="B96" s="33">
        <v>0.18836313590125861</v>
      </c>
      <c r="C96" s="34">
        <v>0.12008607261355794</v>
      </c>
      <c r="D96" s="34">
        <v>0.12025076967207825</v>
      </c>
      <c r="E96" s="34">
        <v>0.11877612564828427</v>
      </c>
      <c r="F96" s="34">
        <v>0.11264811397628716</v>
      </c>
      <c r="G96" s="34">
        <v>9.3992290612989818E-2</v>
      </c>
      <c r="H96" s="34">
        <v>0.10311792970207656</v>
      </c>
      <c r="I96" s="34">
        <v>0.11568575408659665</v>
      </c>
      <c r="J96" s="34">
        <v>0.12799489448350715</v>
      </c>
      <c r="K96" s="34">
        <v>0.15325270846769526</v>
      </c>
      <c r="L96" s="34">
        <v>0.16527374081430229</v>
      </c>
      <c r="M96" s="35">
        <v>0.16481104903428431</v>
      </c>
      <c r="N96" s="32">
        <v>0.45833333333333298</v>
      </c>
      <c r="O96" s="20">
        <f>B96*'1-Data Input'!$D$2</f>
        <v>0</v>
      </c>
      <c r="P96" s="20">
        <f>C96*'1-Data Input'!$D$3</f>
        <v>0</v>
      </c>
      <c r="Q96" s="20">
        <f>D96*'1-Data Input'!$D$4</f>
        <v>0</v>
      </c>
      <c r="R96" s="20">
        <f>E96*'1-Data Input'!$D$5</f>
        <v>0</v>
      </c>
      <c r="S96" s="20">
        <f>F96*'1-Data Input'!$D$6</f>
        <v>0</v>
      </c>
      <c r="T96" s="20">
        <f>G96*'1-Data Input'!$D$7</f>
        <v>0</v>
      </c>
      <c r="U96" s="20">
        <f>H96*'1-Data Input'!$D$8</f>
        <v>0</v>
      </c>
      <c r="V96" s="20">
        <f>I96*'1-Data Input'!$D$9</f>
        <v>0</v>
      </c>
      <c r="W96" s="20">
        <f>J96*'1-Data Input'!$D$10</f>
        <v>0</v>
      </c>
      <c r="X96" s="20">
        <f>K96*'1-Data Input'!$D$11</f>
        <v>0</v>
      </c>
      <c r="Y96" s="20">
        <f>L96*'1-Data Input'!$D$12</f>
        <v>0</v>
      </c>
      <c r="Z96" s="21">
        <f>M96*'1-Data Input'!$D$13</f>
        <v>0</v>
      </c>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row>
    <row r="97" spans="1:56" x14ac:dyDescent="0.25">
      <c r="A97" s="32">
        <v>0.5</v>
      </c>
      <c r="B97" s="33">
        <v>0.19319641061800613</v>
      </c>
      <c r="C97" s="34">
        <v>0.15032752539125818</v>
      </c>
      <c r="D97" s="34">
        <v>0.13728411402614404</v>
      </c>
      <c r="E97" s="34">
        <v>0.12224563684500281</v>
      </c>
      <c r="F97" s="34">
        <v>0.10973738774110306</v>
      </c>
      <c r="G97" s="34">
        <v>0.10145337835819984</v>
      </c>
      <c r="H97" s="34">
        <v>0.11249780304989698</v>
      </c>
      <c r="I97" s="34">
        <v>0.11864354689453577</v>
      </c>
      <c r="J97" s="34">
        <v>0.13768054418047909</v>
      </c>
      <c r="K97" s="34">
        <v>0.16832733565505337</v>
      </c>
      <c r="L97" s="34">
        <v>0.16623969500298957</v>
      </c>
      <c r="M97" s="35">
        <v>0.18665165967738576</v>
      </c>
      <c r="N97" s="32">
        <v>0.5</v>
      </c>
      <c r="O97" s="20">
        <f>B97*'1-Data Input'!$D$2</f>
        <v>0</v>
      </c>
      <c r="P97" s="20">
        <f>C97*'1-Data Input'!$D$3</f>
        <v>0</v>
      </c>
      <c r="Q97" s="20">
        <f>D97*'1-Data Input'!$D$4</f>
        <v>0</v>
      </c>
      <c r="R97" s="20">
        <f>E97*'1-Data Input'!$D$5</f>
        <v>0</v>
      </c>
      <c r="S97" s="20">
        <f>F97*'1-Data Input'!$D$6</f>
        <v>0</v>
      </c>
      <c r="T97" s="20">
        <f>G97*'1-Data Input'!$D$7</f>
        <v>0</v>
      </c>
      <c r="U97" s="20">
        <f>H97*'1-Data Input'!$D$8</f>
        <v>0</v>
      </c>
      <c r="V97" s="20">
        <f>I97*'1-Data Input'!$D$9</f>
        <v>0</v>
      </c>
      <c r="W97" s="20">
        <f>J97*'1-Data Input'!$D$10</f>
        <v>0</v>
      </c>
      <c r="X97" s="20">
        <f>K97*'1-Data Input'!$D$11</f>
        <v>0</v>
      </c>
      <c r="Y97" s="20">
        <f>L97*'1-Data Input'!$D$12</f>
        <v>0</v>
      </c>
      <c r="Z97" s="21">
        <f>M97*'1-Data Input'!$D$13</f>
        <v>0</v>
      </c>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row>
    <row r="98" spans="1:56" x14ac:dyDescent="0.25">
      <c r="A98" s="32">
        <v>0.54166666666666696</v>
      </c>
      <c r="B98" s="33">
        <v>0.19292013961076526</v>
      </c>
      <c r="C98" s="34">
        <v>0.17599678144328554</v>
      </c>
      <c r="D98" s="34">
        <v>0.15413758657549484</v>
      </c>
      <c r="E98" s="34">
        <v>0.12979365356874201</v>
      </c>
      <c r="F98" s="34">
        <v>0.10583021416702569</v>
      </c>
      <c r="G98" s="34">
        <v>0.10022466121974695</v>
      </c>
      <c r="H98" s="34">
        <v>0.11474482471947994</v>
      </c>
      <c r="I98" s="34">
        <v>0.11546269169217729</v>
      </c>
      <c r="J98" s="34">
        <v>0.14432087011095221</v>
      </c>
      <c r="K98" s="34">
        <v>0.15634303463105526</v>
      </c>
      <c r="L98" s="34">
        <v>0.18279464698320796</v>
      </c>
      <c r="M98" s="35">
        <v>0.22024799622051816</v>
      </c>
      <c r="N98" s="32">
        <v>0.54166666666666696</v>
      </c>
      <c r="O98" s="20">
        <f>B98*'1-Data Input'!$D$2</f>
        <v>0</v>
      </c>
      <c r="P98" s="20">
        <f>C98*'1-Data Input'!$D$3</f>
        <v>0</v>
      </c>
      <c r="Q98" s="20">
        <f>D98*'1-Data Input'!$D$4</f>
        <v>0</v>
      </c>
      <c r="R98" s="20">
        <f>E98*'1-Data Input'!$D$5</f>
        <v>0</v>
      </c>
      <c r="S98" s="20">
        <f>F98*'1-Data Input'!$D$6</f>
        <v>0</v>
      </c>
      <c r="T98" s="20">
        <f>G98*'1-Data Input'!$D$7</f>
        <v>0</v>
      </c>
      <c r="U98" s="20">
        <f>H98*'1-Data Input'!$D$8</f>
        <v>0</v>
      </c>
      <c r="V98" s="20">
        <f>I98*'1-Data Input'!$D$9</f>
        <v>0</v>
      </c>
      <c r="W98" s="20">
        <f>J98*'1-Data Input'!$D$10</f>
        <v>0</v>
      </c>
      <c r="X98" s="20">
        <f>K98*'1-Data Input'!$D$11</f>
        <v>0</v>
      </c>
      <c r="Y98" s="20">
        <f>L98*'1-Data Input'!$D$12</f>
        <v>0</v>
      </c>
      <c r="Z98" s="21">
        <f>M98*'1-Data Input'!$D$13</f>
        <v>0</v>
      </c>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row>
    <row r="99" spans="1:56" x14ac:dyDescent="0.25">
      <c r="A99" s="32">
        <v>0.58333333333333304</v>
      </c>
      <c r="B99" s="33">
        <v>0.17063362736267143</v>
      </c>
      <c r="C99" s="34">
        <v>0.1880256492648964</v>
      </c>
      <c r="D99" s="34">
        <v>0.14083147716737812</v>
      </c>
      <c r="E99" s="34">
        <v>0.12211344852574998</v>
      </c>
      <c r="F99" s="34">
        <v>0.10096307778212525</v>
      </c>
      <c r="G99" s="34">
        <v>0.10112497803003624</v>
      </c>
      <c r="H99" s="34">
        <v>0.1028179544286187</v>
      </c>
      <c r="I99" s="34">
        <v>0.10787115662078678</v>
      </c>
      <c r="J99" s="34">
        <v>0.13254997661141929</v>
      </c>
      <c r="K99" s="34">
        <v>0.1286159487558719</v>
      </c>
      <c r="L99" s="34">
        <v>0.14891270359071151</v>
      </c>
      <c r="M99" s="35">
        <v>0.1813145362299978</v>
      </c>
      <c r="N99" s="32">
        <v>0.58333333333333304</v>
      </c>
      <c r="O99" s="20">
        <f>B99*'1-Data Input'!$D$2</f>
        <v>0</v>
      </c>
      <c r="P99" s="20">
        <f>C99*'1-Data Input'!$D$3</f>
        <v>0</v>
      </c>
      <c r="Q99" s="20">
        <f>D99*'1-Data Input'!$D$4</f>
        <v>0</v>
      </c>
      <c r="R99" s="20">
        <f>E99*'1-Data Input'!$D$5</f>
        <v>0</v>
      </c>
      <c r="S99" s="20">
        <f>F99*'1-Data Input'!$D$6</f>
        <v>0</v>
      </c>
      <c r="T99" s="20">
        <f>G99*'1-Data Input'!$D$7</f>
        <v>0</v>
      </c>
      <c r="U99" s="20">
        <f>H99*'1-Data Input'!$D$8</f>
        <v>0</v>
      </c>
      <c r="V99" s="20">
        <f>I99*'1-Data Input'!$D$9</f>
        <v>0</v>
      </c>
      <c r="W99" s="20">
        <f>J99*'1-Data Input'!$D$10</f>
        <v>0</v>
      </c>
      <c r="X99" s="20">
        <f>K99*'1-Data Input'!$D$11</f>
        <v>0</v>
      </c>
      <c r="Y99" s="20">
        <f>L99*'1-Data Input'!$D$12</f>
        <v>0</v>
      </c>
      <c r="Z99" s="21">
        <f>M99*'1-Data Input'!$D$13</f>
        <v>0</v>
      </c>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row>
    <row r="100" spans="1:56" x14ac:dyDescent="0.25">
      <c r="A100" s="32">
        <v>0.625</v>
      </c>
      <c r="B100" s="33">
        <v>0.10016734002311009</v>
      </c>
      <c r="C100" s="34">
        <v>0.14237260931513263</v>
      </c>
      <c r="D100" s="34">
        <v>0.10886859033959817</v>
      </c>
      <c r="E100" s="34">
        <v>9.9176918231113423E-2</v>
      </c>
      <c r="F100" s="34">
        <v>9.0436479463056232E-2</v>
      </c>
      <c r="G100" s="34">
        <v>9.4617066527929283E-2</v>
      </c>
      <c r="H100" s="34">
        <v>8.9637644489052232E-2</v>
      </c>
      <c r="I100" s="34">
        <v>9.1658442946885535E-2</v>
      </c>
      <c r="J100" s="34">
        <v>9.5941577008865089E-2</v>
      </c>
      <c r="K100" s="34">
        <v>9.3335141191375801E-2</v>
      </c>
      <c r="L100" s="34">
        <v>8.7334178439325005E-2</v>
      </c>
      <c r="M100" s="35">
        <v>7.2839435249418716E-2</v>
      </c>
      <c r="N100" s="32">
        <v>0.625</v>
      </c>
      <c r="O100" s="20">
        <f>B100*'1-Data Input'!$D$2</f>
        <v>0</v>
      </c>
      <c r="P100" s="20">
        <f>C100*'1-Data Input'!$D$3</f>
        <v>0</v>
      </c>
      <c r="Q100" s="20">
        <f>D100*'1-Data Input'!$D$4</f>
        <v>0</v>
      </c>
      <c r="R100" s="20">
        <f>E100*'1-Data Input'!$D$5</f>
        <v>0</v>
      </c>
      <c r="S100" s="20">
        <f>F100*'1-Data Input'!$D$6</f>
        <v>0</v>
      </c>
      <c r="T100" s="20">
        <f>G100*'1-Data Input'!$D$7</f>
        <v>0</v>
      </c>
      <c r="U100" s="20">
        <f>H100*'1-Data Input'!$D$8</f>
        <v>0</v>
      </c>
      <c r="V100" s="20">
        <f>I100*'1-Data Input'!$D$9</f>
        <v>0</v>
      </c>
      <c r="W100" s="20">
        <f>J100*'1-Data Input'!$D$10</f>
        <v>0</v>
      </c>
      <c r="X100" s="20">
        <f>K100*'1-Data Input'!$D$11</f>
        <v>0</v>
      </c>
      <c r="Y100" s="20">
        <f>L100*'1-Data Input'!$D$12</f>
        <v>0</v>
      </c>
      <c r="Z100" s="21">
        <f>M100*'1-Data Input'!$D$13</f>
        <v>0</v>
      </c>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row>
    <row r="101" spans="1:56" x14ac:dyDescent="0.25">
      <c r="A101" s="32">
        <v>0.66666666666666696</v>
      </c>
      <c r="B101" s="33">
        <v>1.3359176616101988E-2</v>
      </c>
      <c r="C101" s="34">
        <v>6.6497348756261856E-2</v>
      </c>
      <c r="D101" s="34">
        <v>7.8859297572259207E-2</v>
      </c>
      <c r="E101" s="34">
        <v>6.8865200743513919E-2</v>
      </c>
      <c r="F101" s="34">
        <v>6.9853749083480646E-2</v>
      </c>
      <c r="G101" s="34">
        <v>7.7164856815027688E-2</v>
      </c>
      <c r="H101" s="34">
        <v>7.1668132173514393E-2</v>
      </c>
      <c r="I101" s="34">
        <v>7.3026918999305732E-2</v>
      </c>
      <c r="J101" s="34">
        <v>6.4787930679514466E-2</v>
      </c>
      <c r="K101" s="34">
        <v>3.7478474975261147E-2</v>
      </c>
      <c r="L101" s="34">
        <v>2.1171806098732138E-2</v>
      </c>
      <c r="M101" s="35">
        <v>8.0765657732159296E-3</v>
      </c>
      <c r="N101" s="32">
        <v>0.66666666666666696</v>
      </c>
      <c r="O101" s="20">
        <f>B101*'1-Data Input'!$D$2</f>
        <v>0</v>
      </c>
      <c r="P101" s="20">
        <f>C101*'1-Data Input'!$D$3</f>
        <v>0</v>
      </c>
      <c r="Q101" s="20">
        <f>D101*'1-Data Input'!$D$4</f>
        <v>0</v>
      </c>
      <c r="R101" s="20">
        <f>E101*'1-Data Input'!$D$5</f>
        <v>0</v>
      </c>
      <c r="S101" s="20">
        <f>F101*'1-Data Input'!$D$6</f>
        <v>0</v>
      </c>
      <c r="T101" s="20">
        <f>G101*'1-Data Input'!$D$7</f>
        <v>0</v>
      </c>
      <c r="U101" s="20">
        <f>H101*'1-Data Input'!$D$8</f>
        <v>0</v>
      </c>
      <c r="V101" s="20">
        <f>I101*'1-Data Input'!$D$9</f>
        <v>0</v>
      </c>
      <c r="W101" s="20">
        <f>J101*'1-Data Input'!$D$10</f>
        <v>0</v>
      </c>
      <c r="X101" s="20">
        <f>K101*'1-Data Input'!$D$11</f>
        <v>0</v>
      </c>
      <c r="Y101" s="20">
        <f>L101*'1-Data Input'!$D$12</f>
        <v>0</v>
      </c>
      <c r="Z101" s="21">
        <f>M101*'1-Data Input'!$D$13</f>
        <v>0</v>
      </c>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row>
    <row r="102" spans="1:56" x14ac:dyDescent="0.25">
      <c r="A102" s="32">
        <v>0.70833333333333304</v>
      </c>
      <c r="B102" s="33">
        <v>0</v>
      </c>
      <c r="C102" s="34">
        <v>8.847095768928722E-3</v>
      </c>
      <c r="D102" s="34">
        <v>3.2381286256768581E-2</v>
      </c>
      <c r="E102" s="34">
        <v>3.7999276435278111E-2</v>
      </c>
      <c r="F102" s="34">
        <v>4.7731940201612325E-2</v>
      </c>
      <c r="G102" s="34">
        <v>5.4504376906632068E-2</v>
      </c>
      <c r="H102" s="34">
        <v>4.9559055693272673E-2</v>
      </c>
      <c r="I102" s="34">
        <v>4.8128480396952604E-2</v>
      </c>
      <c r="J102" s="34">
        <v>3.0399513342050023E-2</v>
      </c>
      <c r="K102" s="34">
        <v>3.1725298910065623E-3</v>
      </c>
      <c r="L102" s="34">
        <v>1.1838036139414081E-3</v>
      </c>
      <c r="M102" s="35">
        <v>0</v>
      </c>
      <c r="N102" s="32">
        <v>0.70833333333333304</v>
      </c>
      <c r="O102" s="20">
        <f>B102*'1-Data Input'!$D$2</f>
        <v>0</v>
      </c>
      <c r="P102" s="20">
        <f>C102*'1-Data Input'!$D$3</f>
        <v>0</v>
      </c>
      <c r="Q102" s="20">
        <f>D102*'1-Data Input'!$D$4</f>
        <v>0</v>
      </c>
      <c r="R102" s="20">
        <f>E102*'1-Data Input'!$D$5</f>
        <v>0</v>
      </c>
      <c r="S102" s="20">
        <f>F102*'1-Data Input'!$D$6</f>
        <v>0</v>
      </c>
      <c r="T102" s="20">
        <f>G102*'1-Data Input'!$D$7</f>
        <v>0</v>
      </c>
      <c r="U102" s="20">
        <f>H102*'1-Data Input'!$D$8</f>
        <v>0</v>
      </c>
      <c r="V102" s="20">
        <f>I102*'1-Data Input'!$D$9</f>
        <v>0</v>
      </c>
      <c r="W102" s="20">
        <f>J102*'1-Data Input'!$D$10</f>
        <v>0</v>
      </c>
      <c r="X102" s="20">
        <f>K102*'1-Data Input'!$D$11</f>
        <v>0</v>
      </c>
      <c r="Y102" s="20">
        <f>L102*'1-Data Input'!$D$12</f>
        <v>0</v>
      </c>
      <c r="Z102" s="21">
        <f>M102*'1-Data Input'!$D$13</f>
        <v>0</v>
      </c>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row>
    <row r="103" spans="1:56" x14ac:dyDescent="0.25">
      <c r="A103" s="32">
        <v>0.75</v>
      </c>
      <c r="B103" s="33">
        <v>0</v>
      </c>
      <c r="C103" s="34">
        <v>0</v>
      </c>
      <c r="D103" s="34">
        <v>2.4223732278026346E-3</v>
      </c>
      <c r="E103" s="34">
        <v>1.0397960557331089E-2</v>
      </c>
      <c r="F103" s="34">
        <v>2.3425442887619295E-2</v>
      </c>
      <c r="G103" s="34">
        <v>2.9780956716911486E-2</v>
      </c>
      <c r="H103" s="34">
        <v>2.8063671500320814E-2</v>
      </c>
      <c r="I103" s="34">
        <v>2.198805168584287E-2</v>
      </c>
      <c r="J103" s="34">
        <v>3.316108653070931E-3</v>
      </c>
      <c r="K103" s="34">
        <v>0</v>
      </c>
      <c r="L103" s="34">
        <v>0</v>
      </c>
      <c r="M103" s="35">
        <v>0</v>
      </c>
      <c r="N103" s="32">
        <v>0.75</v>
      </c>
      <c r="O103" s="20">
        <f>B103*'1-Data Input'!$D$2</f>
        <v>0</v>
      </c>
      <c r="P103" s="20">
        <f>C103*'1-Data Input'!$D$3</f>
        <v>0</v>
      </c>
      <c r="Q103" s="20">
        <f>D103*'1-Data Input'!$D$4</f>
        <v>0</v>
      </c>
      <c r="R103" s="20">
        <f>E103*'1-Data Input'!$D$5</f>
        <v>0</v>
      </c>
      <c r="S103" s="20">
        <f>F103*'1-Data Input'!$D$6</f>
        <v>0</v>
      </c>
      <c r="T103" s="20">
        <f>G103*'1-Data Input'!$D$7</f>
        <v>0</v>
      </c>
      <c r="U103" s="20">
        <f>H103*'1-Data Input'!$D$8</f>
        <v>0</v>
      </c>
      <c r="V103" s="20">
        <f>I103*'1-Data Input'!$D$9</f>
        <v>0</v>
      </c>
      <c r="W103" s="20">
        <f>J103*'1-Data Input'!$D$10</f>
        <v>0</v>
      </c>
      <c r="X103" s="20">
        <f>K103*'1-Data Input'!$D$11</f>
        <v>0</v>
      </c>
      <c r="Y103" s="20">
        <f>L103*'1-Data Input'!$D$12</f>
        <v>0</v>
      </c>
      <c r="Z103" s="21">
        <f>M103*'1-Data Input'!$D$13</f>
        <v>0</v>
      </c>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row>
    <row r="104" spans="1:56" x14ac:dyDescent="0.25">
      <c r="A104" s="32">
        <v>0.79166666666666696</v>
      </c>
      <c r="B104" s="33">
        <v>0</v>
      </c>
      <c r="C104" s="34">
        <v>0</v>
      </c>
      <c r="D104" s="34">
        <v>0</v>
      </c>
      <c r="E104" s="34">
        <v>4.9367993303758226E-5</v>
      </c>
      <c r="F104" s="34">
        <v>4.7197006011514076E-3</v>
      </c>
      <c r="G104" s="34">
        <v>1.1365637876319903E-2</v>
      </c>
      <c r="H104" s="34">
        <v>8.6667190289713893E-3</v>
      </c>
      <c r="I104" s="34">
        <v>3.1736427855304857E-3</v>
      </c>
      <c r="J104" s="34">
        <v>0</v>
      </c>
      <c r="K104" s="34">
        <v>0</v>
      </c>
      <c r="L104" s="34">
        <v>0</v>
      </c>
      <c r="M104" s="35">
        <v>0</v>
      </c>
      <c r="N104" s="32">
        <v>0.79166666666666696</v>
      </c>
      <c r="O104" s="20">
        <f>B104*'1-Data Input'!$D$2</f>
        <v>0</v>
      </c>
      <c r="P104" s="20">
        <f>C104*'1-Data Input'!$D$3</f>
        <v>0</v>
      </c>
      <c r="Q104" s="20">
        <f>D104*'1-Data Input'!$D$4</f>
        <v>0</v>
      </c>
      <c r="R104" s="20">
        <f>E104*'1-Data Input'!$D$5</f>
        <v>0</v>
      </c>
      <c r="S104" s="20">
        <f>F104*'1-Data Input'!$D$6</f>
        <v>0</v>
      </c>
      <c r="T104" s="20">
        <f>G104*'1-Data Input'!$D$7</f>
        <v>0</v>
      </c>
      <c r="U104" s="20">
        <f>H104*'1-Data Input'!$D$8</f>
        <v>0</v>
      </c>
      <c r="V104" s="20">
        <f>I104*'1-Data Input'!$D$9</f>
        <v>0</v>
      </c>
      <c r="W104" s="20">
        <f>J104*'1-Data Input'!$D$10</f>
        <v>0</v>
      </c>
      <c r="X104" s="20">
        <f>K104*'1-Data Input'!$D$11</f>
        <v>0</v>
      </c>
      <c r="Y104" s="20">
        <f>L104*'1-Data Input'!$D$12</f>
        <v>0</v>
      </c>
      <c r="Z104" s="21">
        <f>M104*'1-Data Input'!$D$13</f>
        <v>0</v>
      </c>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row>
    <row r="105" spans="1:56" x14ac:dyDescent="0.25">
      <c r="A105" s="32">
        <v>0.83333333333333304</v>
      </c>
      <c r="B105" s="33">
        <v>0</v>
      </c>
      <c r="C105" s="34">
        <v>0</v>
      </c>
      <c r="D105" s="34">
        <v>0</v>
      </c>
      <c r="E105" s="34">
        <v>0</v>
      </c>
      <c r="F105" s="34">
        <v>0</v>
      </c>
      <c r="G105" s="34">
        <v>5.293301163154969E-4</v>
      </c>
      <c r="H105" s="34">
        <v>2.1326470038061788E-4</v>
      </c>
      <c r="I105" s="34">
        <v>0</v>
      </c>
      <c r="J105" s="34">
        <v>0</v>
      </c>
      <c r="K105" s="34">
        <v>0</v>
      </c>
      <c r="L105" s="34">
        <v>0</v>
      </c>
      <c r="M105" s="35">
        <v>0</v>
      </c>
      <c r="N105" s="32">
        <v>0.83333333333333304</v>
      </c>
      <c r="O105" s="20">
        <f>B105*'1-Data Input'!$D$2</f>
        <v>0</v>
      </c>
      <c r="P105" s="20">
        <f>C105*'1-Data Input'!$D$3</f>
        <v>0</v>
      </c>
      <c r="Q105" s="20">
        <f>D105*'1-Data Input'!$D$4</f>
        <v>0</v>
      </c>
      <c r="R105" s="20">
        <f>E105*'1-Data Input'!$D$5</f>
        <v>0</v>
      </c>
      <c r="S105" s="20">
        <f>F105*'1-Data Input'!$D$6</f>
        <v>0</v>
      </c>
      <c r="T105" s="20">
        <f>G105*'1-Data Input'!$D$7</f>
        <v>0</v>
      </c>
      <c r="U105" s="20">
        <f>H105*'1-Data Input'!$D$8</f>
        <v>0</v>
      </c>
      <c r="V105" s="20">
        <f>I105*'1-Data Input'!$D$9</f>
        <v>0</v>
      </c>
      <c r="W105" s="20">
        <f>J105*'1-Data Input'!$D$10</f>
        <v>0</v>
      </c>
      <c r="X105" s="20">
        <f>K105*'1-Data Input'!$D$11</f>
        <v>0</v>
      </c>
      <c r="Y105" s="20">
        <f>L105*'1-Data Input'!$D$12</f>
        <v>0</v>
      </c>
      <c r="Z105" s="21">
        <f>M105*'1-Data Input'!$D$13</f>
        <v>0</v>
      </c>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row>
    <row r="106" spans="1:56" x14ac:dyDescent="0.25">
      <c r="A106" s="32">
        <v>0.875</v>
      </c>
      <c r="B106" s="33">
        <v>0</v>
      </c>
      <c r="C106" s="34">
        <v>0</v>
      </c>
      <c r="D106" s="34">
        <v>0</v>
      </c>
      <c r="E106" s="34">
        <v>0</v>
      </c>
      <c r="F106" s="34">
        <v>0</v>
      </c>
      <c r="G106" s="34">
        <v>0</v>
      </c>
      <c r="H106" s="34">
        <v>0</v>
      </c>
      <c r="I106" s="34">
        <v>0</v>
      </c>
      <c r="J106" s="34">
        <v>0</v>
      </c>
      <c r="K106" s="34">
        <v>0</v>
      </c>
      <c r="L106" s="34">
        <v>0</v>
      </c>
      <c r="M106" s="35">
        <v>0</v>
      </c>
      <c r="N106" s="32">
        <v>0.875</v>
      </c>
      <c r="O106" s="20">
        <f>B106*'1-Data Input'!$D$2</f>
        <v>0</v>
      </c>
      <c r="P106" s="20">
        <f>C106*'1-Data Input'!$D$3</f>
        <v>0</v>
      </c>
      <c r="Q106" s="20">
        <f>D106*'1-Data Input'!$D$4</f>
        <v>0</v>
      </c>
      <c r="R106" s="20">
        <f>E106*'1-Data Input'!$D$5</f>
        <v>0</v>
      </c>
      <c r="S106" s="20">
        <f>F106*'1-Data Input'!$D$6</f>
        <v>0</v>
      </c>
      <c r="T106" s="20">
        <f>G106*'1-Data Input'!$D$7</f>
        <v>0</v>
      </c>
      <c r="U106" s="20">
        <f>H106*'1-Data Input'!$D$8</f>
        <v>0</v>
      </c>
      <c r="V106" s="20">
        <f>I106*'1-Data Input'!$D$9</f>
        <v>0</v>
      </c>
      <c r="W106" s="20">
        <f>J106*'1-Data Input'!$D$10</f>
        <v>0</v>
      </c>
      <c r="X106" s="20">
        <f>K106*'1-Data Input'!$D$11</f>
        <v>0</v>
      </c>
      <c r="Y106" s="20">
        <f>L106*'1-Data Input'!$D$12</f>
        <v>0</v>
      </c>
      <c r="Z106" s="21">
        <f>M106*'1-Data Input'!$D$13</f>
        <v>0</v>
      </c>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row>
    <row r="107" spans="1:56" x14ac:dyDescent="0.25">
      <c r="A107" s="32">
        <v>0.91666666666666696</v>
      </c>
      <c r="B107" s="33">
        <v>0</v>
      </c>
      <c r="C107" s="34">
        <v>0</v>
      </c>
      <c r="D107" s="34">
        <v>0</v>
      </c>
      <c r="E107" s="34">
        <v>0</v>
      </c>
      <c r="F107" s="34">
        <v>0</v>
      </c>
      <c r="G107" s="34">
        <v>0</v>
      </c>
      <c r="H107" s="34">
        <v>0</v>
      </c>
      <c r="I107" s="34">
        <v>0</v>
      </c>
      <c r="J107" s="34">
        <v>0</v>
      </c>
      <c r="K107" s="34">
        <v>0</v>
      </c>
      <c r="L107" s="34">
        <v>0</v>
      </c>
      <c r="M107" s="35">
        <v>0</v>
      </c>
      <c r="N107" s="32">
        <v>0.91666666666666696</v>
      </c>
      <c r="O107" s="20">
        <f>B107*'1-Data Input'!$D$2</f>
        <v>0</v>
      </c>
      <c r="P107" s="20">
        <f>C107*'1-Data Input'!$D$3</f>
        <v>0</v>
      </c>
      <c r="Q107" s="20">
        <f>D107*'1-Data Input'!$D$4</f>
        <v>0</v>
      </c>
      <c r="R107" s="20">
        <f>E107*'1-Data Input'!$D$5</f>
        <v>0</v>
      </c>
      <c r="S107" s="20">
        <f>F107*'1-Data Input'!$D$6</f>
        <v>0</v>
      </c>
      <c r="T107" s="20">
        <f>G107*'1-Data Input'!$D$7</f>
        <v>0</v>
      </c>
      <c r="U107" s="20">
        <f>H107*'1-Data Input'!$D$8</f>
        <v>0</v>
      </c>
      <c r="V107" s="20">
        <f>I107*'1-Data Input'!$D$9</f>
        <v>0</v>
      </c>
      <c r="W107" s="20">
        <f>J107*'1-Data Input'!$D$10</f>
        <v>0</v>
      </c>
      <c r="X107" s="20">
        <f>K107*'1-Data Input'!$D$11</f>
        <v>0</v>
      </c>
      <c r="Y107" s="20">
        <f>L107*'1-Data Input'!$D$12</f>
        <v>0</v>
      </c>
      <c r="Z107" s="21">
        <f>M107*'1-Data Input'!$D$13</f>
        <v>0</v>
      </c>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row>
    <row r="108" spans="1:56" ht="15.75" thickBot="1" x14ac:dyDescent="0.3">
      <c r="A108" s="32">
        <v>0.95833333333333304</v>
      </c>
      <c r="B108" s="36">
        <v>0</v>
      </c>
      <c r="C108" s="37">
        <v>0</v>
      </c>
      <c r="D108" s="37">
        <v>0</v>
      </c>
      <c r="E108" s="37">
        <v>0</v>
      </c>
      <c r="F108" s="37">
        <v>0</v>
      </c>
      <c r="G108" s="37">
        <v>0</v>
      </c>
      <c r="H108" s="37">
        <v>0</v>
      </c>
      <c r="I108" s="37">
        <v>0</v>
      </c>
      <c r="J108" s="37">
        <v>0</v>
      </c>
      <c r="K108" s="37">
        <v>0</v>
      </c>
      <c r="L108" s="37">
        <v>0</v>
      </c>
      <c r="M108" s="38">
        <v>0</v>
      </c>
      <c r="N108" s="32">
        <v>0.95833333333333304</v>
      </c>
      <c r="O108" s="26">
        <f>B108*'1-Data Input'!$D$2</f>
        <v>0</v>
      </c>
      <c r="P108" s="26">
        <f>C108*'1-Data Input'!$D$3</f>
        <v>0</v>
      </c>
      <c r="Q108" s="26">
        <f>D108*'1-Data Input'!$D$4</f>
        <v>0</v>
      </c>
      <c r="R108" s="26">
        <f>E108*'1-Data Input'!$D$5</f>
        <v>0</v>
      </c>
      <c r="S108" s="26">
        <f>F108*'1-Data Input'!$D$6</f>
        <v>0</v>
      </c>
      <c r="T108" s="26">
        <f>G108*'1-Data Input'!$D$7</f>
        <v>0</v>
      </c>
      <c r="U108" s="26">
        <f>H108*'1-Data Input'!$D$8</f>
        <v>0</v>
      </c>
      <c r="V108" s="26">
        <f>I108*'1-Data Input'!$D$9</f>
        <v>0</v>
      </c>
      <c r="W108" s="26">
        <f>J108*'1-Data Input'!$D$10</f>
        <v>0</v>
      </c>
      <c r="X108" s="26">
        <f>K108*'1-Data Input'!$D$11</f>
        <v>0</v>
      </c>
      <c r="Y108" s="26">
        <f>L108*'1-Data Input'!$D$12</f>
        <v>0</v>
      </c>
      <c r="Z108" s="27">
        <f>M108*'1-Data Input'!$D$13</f>
        <v>0</v>
      </c>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row>
    <row r="109" spans="1:56" ht="26.25" x14ac:dyDescent="0.25">
      <c r="A109" s="73" t="s">
        <v>34</v>
      </c>
      <c r="B109" s="73"/>
      <c r="C109" s="73"/>
      <c r="D109" s="73"/>
      <c r="E109" s="73"/>
      <c r="F109" s="73"/>
      <c r="G109" s="71" t="s">
        <v>58</v>
      </c>
      <c r="H109" s="71"/>
      <c r="I109" s="71"/>
      <c r="J109" s="71"/>
      <c r="K109" s="71"/>
      <c r="L109" s="71"/>
      <c r="M109" s="71"/>
      <c r="N109" s="71"/>
      <c r="O109" s="71"/>
      <c r="P109" s="71"/>
      <c r="Q109" s="71"/>
      <c r="R109" s="71"/>
      <c r="S109" s="71"/>
      <c r="T109" s="71"/>
      <c r="U109" s="71"/>
      <c r="V109" s="71"/>
      <c r="W109" s="71"/>
      <c r="X109" s="71"/>
      <c r="Y109" s="71"/>
      <c r="Z109" s="72"/>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row>
    <row r="110" spans="1:56" ht="33.75" x14ac:dyDescent="0.5">
      <c r="A110" s="67" t="s">
        <v>35</v>
      </c>
      <c r="B110" s="67"/>
      <c r="C110" s="67"/>
      <c r="D110" s="67"/>
      <c r="E110" s="67"/>
      <c r="F110" s="67"/>
      <c r="G110" s="67"/>
      <c r="H110" s="67"/>
      <c r="I110" s="67"/>
      <c r="J110" s="67"/>
      <c r="K110" s="67"/>
      <c r="L110" s="67"/>
      <c r="M110" s="68"/>
      <c r="N110" s="69" t="s">
        <v>36</v>
      </c>
      <c r="O110" s="69"/>
      <c r="P110" s="69"/>
      <c r="Q110" s="69"/>
      <c r="R110" s="69"/>
      <c r="S110" s="69"/>
      <c r="T110" s="69"/>
      <c r="U110" s="69"/>
      <c r="V110" s="69"/>
      <c r="W110" s="69"/>
      <c r="X110" s="69"/>
      <c r="Y110" s="69"/>
      <c r="Z110" s="69"/>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row>
    <row r="111" spans="1:56" ht="46.5" x14ac:dyDescent="0.25">
      <c r="A111" s="28" t="s">
        <v>30</v>
      </c>
      <c r="B111" s="29" t="s">
        <v>16</v>
      </c>
      <c r="C111" s="29" t="s">
        <v>17</v>
      </c>
      <c r="D111" s="29" t="s">
        <v>18</v>
      </c>
      <c r="E111" s="29" t="s">
        <v>19</v>
      </c>
      <c r="F111" s="29" t="s">
        <v>4</v>
      </c>
      <c r="G111" s="29" t="s">
        <v>20</v>
      </c>
      <c r="H111" s="29" t="s">
        <v>21</v>
      </c>
      <c r="I111" s="29" t="s">
        <v>22</v>
      </c>
      <c r="J111" s="29" t="s">
        <v>23</v>
      </c>
      <c r="K111" s="29" t="s">
        <v>24</v>
      </c>
      <c r="L111" s="29" t="s">
        <v>25</v>
      </c>
      <c r="M111" s="30" t="s">
        <v>26</v>
      </c>
      <c r="N111" s="31" t="s">
        <v>30</v>
      </c>
      <c r="O111" s="31" t="s">
        <v>16</v>
      </c>
      <c r="P111" s="31" t="s">
        <v>17</v>
      </c>
      <c r="Q111" s="31" t="s">
        <v>18</v>
      </c>
      <c r="R111" s="31" t="s">
        <v>19</v>
      </c>
      <c r="S111" s="31" t="s">
        <v>4</v>
      </c>
      <c r="T111" s="31" t="s">
        <v>20</v>
      </c>
      <c r="U111" s="31" t="s">
        <v>21</v>
      </c>
      <c r="V111" s="31" t="s">
        <v>22</v>
      </c>
      <c r="W111" s="31" t="s">
        <v>23</v>
      </c>
      <c r="X111" s="31" t="s">
        <v>24</v>
      </c>
      <c r="Y111" s="31" t="s">
        <v>25</v>
      </c>
      <c r="Z111" s="31" t="s">
        <v>26</v>
      </c>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row>
    <row r="112" spans="1:56" x14ac:dyDescent="0.25">
      <c r="A112" s="32">
        <v>0</v>
      </c>
      <c r="B112" s="33">
        <v>0</v>
      </c>
      <c r="C112" s="34">
        <v>0</v>
      </c>
      <c r="D112" s="34">
        <v>0</v>
      </c>
      <c r="E112" s="34">
        <v>0</v>
      </c>
      <c r="F112" s="34">
        <v>0</v>
      </c>
      <c r="G112" s="34">
        <v>0</v>
      </c>
      <c r="H112" s="34">
        <v>0</v>
      </c>
      <c r="I112" s="34">
        <v>0</v>
      </c>
      <c r="J112" s="34">
        <v>0</v>
      </c>
      <c r="K112" s="34">
        <v>0</v>
      </c>
      <c r="L112" s="34">
        <v>0</v>
      </c>
      <c r="M112" s="35">
        <v>0</v>
      </c>
      <c r="N112" s="32">
        <v>0</v>
      </c>
      <c r="O112" s="41">
        <f>B112*'1-Data Input'!$D$2</f>
        <v>0</v>
      </c>
      <c r="P112" s="41">
        <f>C112*'1-Data Input'!$D$3</f>
        <v>0</v>
      </c>
      <c r="Q112" s="41">
        <f>D112*'1-Data Input'!$D$4</f>
        <v>0</v>
      </c>
      <c r="R112" s="41">
        <f>E112*'1-Data Input'!$D$5</f>
        <v>0</v>
      </c>
      <c r="S112" s="41">
        <f>F112*'1-Data Input'!$D$6</f>
        <v>0</v>
      </c>
      <c r="T112" s="41">
        <f>G112*'1-Data Input'!$D$7</f>
        <v>0</v>
      </c>
      <c r="U112" s="41">
        <f>H112*'1-Data Input'!$D$8</f>
        <v>0</v>
      </c>
      <c r="V112" s="41">
        <f>I112*'1-Data Input'!$D$9</f>
        <v>0</v>
      </c>
      <c r="W112" s="41">
        <f>J112*'1-Data Input'!$D$10</f>
        <v>0</v>
      </c>
      <c r="X112" s="41">
        <f>K112*'1-Data Input'!$D$11</f>
        <v>0</v>
      </c>
      <c r="Y112" s="41">
        <f>L112*'1-Data Input'!$D$12</f>
        <v>0</v>
      </c>
      <c r="Z112" s="41">
        <f>M112*'1-Data Input'!$D$13</f>
        <v>0</v>
      </c>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row>
    <row r="113" spans="1:56" x14ac:dyDescent="0.25">
      <c r="A113" s="32">
        <v>4.1666666666666699E-2</v>
      </c>
      <c r="B113" s="33">
        <v>0</v>
      </c>
      <c r="C113" s="34">
        <v>0</v>
      </c>
      <c r="D113" s="34">
        <v>0</v>
      </c>
      <c r="E113" s="34">
        <v>0</v>
      </c>
      <c r="F113" s="34">
        <v>0</v>
      </c>
      <c r="G113" s="34">
        <v>0</v>
      </c>
      <c r="H113" s="34">
        <v>0</v>
      </c>
      <c r="I113" s="34">
        <v>0</v>
      </c>
      <c r="J113" s="34">
        <v>0</v>
      </c>
      <c r="K113" s="34">
        <v>0</v>
      </c>
      <c r="L113" s="34">
        <v>0</v>
      </c>
      <c r="M113" s="35">
        <v>0</v>
      </c>
      <c r="N113" s="32">
        <v>4.1666666666666699E-2</v>
      </c>
      <c r="O113" s="20">
        <f>B113*'1-Data Input'!$D$2</f>
        <v>0</v>
      </c>
      <c r="P113" s="20">
        <f>C113*'1-Data Input'!$D$3</f>
        <v>0</v>
      </c>
      <c r="Q113" s="20">
        <f>D113*'1-Data Input'!$D$4</f>
        <v>0</v>
      </c>
      <c r="R113" s="20">
        <f>E113*'1-Data Input'!$D$5</f>
        <v>0</v>
      </c>
      <c r="S113" s="20">
        <f>F113*'1-Data Input'!$D$6</f>
        <v>0</v>
      </c>
      <c r="T113" s="20">
        <f>G113*'1-Data Input'!$D$7</f>
        <v>0</v>
      </c>
      <c r="U113" s="20">
        <f>H113*'1-Data Input'!$D$8</f>
        <v>0</v>
      </c>
      <c r="V113" s="20">
        <f>I113*'1-Data Input'!$D$9</f>
        <v>0</v>
      </c>
      <c r="W113" s="20">
        <f>J113*'1-Data Input'!$D$10</f>
        <v>0</v>
      </c>
      <c r="X113" s="20">
        <f>K113*'1-Data Input'!$D$11</f>
        <v>0</v>
      </c>
      <c r="Y113" s="20">
        <f>L113*'1-Data Input'!$D$12</f>
        <v>0</v>
      </c>
      <c r="Z113" s="21">
        <f>M113*'1-Data Input'!$D$13</f>
        <v>0</v>
      </c>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row>
    <row r="114" spans="1:56" x14ac:dyDescent="0.25">
      <c r="A114" s="32">
        <v>8.3333333333333301E-2</v>
      </c>
      <c r="B114" s="33">
        <v>0</v>
      </c>
      <c r="C114" s="34">
        <v>0</v>
      </c>
      <c r="D114" s="34">
        <v>0</v>
      </c>
      <c r="E114" s="34">
        <v>0</v>
      </c>
      <c r="F114" s="34">
        <v>0</v>
      </c>
      <c r="G114" s="34">
        <v>0</v>
      </c>
      <c r="H114" s="34">
        <v>0</v>
      </c>
      <c r="I114" s="34">
        <v>0</v>
      </c>
      <c r="J114" s="34">
        <v>0</v>
      </c>
      <c r="K114" s="34">
        <v>0</v>
      </c>
      <c r="L114" s="34">
        <v>0</v>
      </c>
      <c r="M114" s="35">
        <v>0</v>
      </c>
      <c r="N114" s="32">
        <v>8.3333333333333301E-2</v>
      </c>
      <c r="O114" s="20">
        <f>B114*'1-Data Input'!$D$2</f>
        <v>0</v>
      </c>
      <c r="P114" s="20">
        <f>C114*'1-Data Input'!$D$3</f>
        <v>0</v>
      </c>
      <c r="Q114" s="20">
        <f>D114*'1-Data Input'!$D$4</f>
        <v>0</v>
      </c>
      <c r="R114" s="20">
        <f>E114*'1-Data Input'!$D$5</f>
        <v>0</v>
      </c>
      <c r="S114" s="20">
        <f>F114*'1-Data Input'!$D$6</f>
        <v>0</v>
      </c>
      <c r="T114" s="20">
        <f>G114*'1-Data Input'!$D$7</f>
        <v>0</v>
      </c>
      <c r="U114" s="20">
        <f>H114*'1-Data Input'!$D$8</f>
        <v>0</v>
      </c>
      <c r="V114" s="20">
        <f>I114*'1-Data Input'!$D$9</f>
        <v>0</v>
      </c>
      <c r="W114" s="20">
        <f>J114*'1-Data Input'!$D$10</f>
        <v>0</v>
      </c>
      <c r="X114" s="20">
        <f>K114*'1-Data Input'!$D$11</f>
        <v>0</v>
      </c>
      <c r="Y114" s="20">
        <f>L114*'1-Data Input'!$D$12</f>
        <v>0</v>
      </c>
      <c r="Z114" s="21">
        <f>M114*'1-Data Input'!$D$13</f>
        <v>0</v>
      </c>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row>
    <row r="115" spans="1:56" x14ac:dyDescent="0.25">
      <c r="A115" s="32">
        <v>0.125</v>
      </c>
      <c r="B115" s="33">
        <v>0</v>
      </c>
      <c r="C115" s="34">
        <v>0</v>
      </c>
      <c r="D115" s="34">
        <v>0</v>
      </c>
      <c r="E115" s="34">
        <v>0</v>
      </c>
      <c r="F115" s="34">
        <v>0</v>
      </c>
      <c r="G115" s="34">
        <v>0</v>
      </c>
      <c r="H115" s="34">
        <v>0</v>
      </c>
      <c r="I115" s="34">
        <v>0</v>
      </c>
      <c r="J115" s="34">
        <v>0</v>
      </c>
      <c r="K115" s="34">
        <v>0</v>
      </c>
      <c r="L115" s="34">
        <v>0</v>
      </c>
      <c r="M115" s="35">
        <v>0</v>
      </c>
      <c r="N115" s="32">
        <v>0.125</v>
      </c>
      <c r="O115" s="20">
        <f>B115*'1-Data Input'!$D$2</f>
        <v>0</v>
      </c>
      <c r="P115" s="20">
        <f>C115*'1-Data Input'!$D$3</f>
        <v>0</v>
      </c>
      <c r="Q115" s="20">
        <f>D115*'1-Data Input'!$D$4</f>
        <v>0</v>
      </c>
      <c r="R115" s="20">
        <f>E115*'1-Data Input'!$D$5</f>
        <v>0</v>
      </c>
      <c r="S115" s="20">
        <f>F115*'1-Data Input'!$D$6</f>
        <v>0</v>
      </c>
      <c r="T115" s="20">
        <f>G115*'1-Data Input'!$D$7</f>
        <v>0</v>
      </c>
      <c r="U115" s="20">
        <f>H115*'1-Data Input'!$D$8</f>
        <v>0</v>
      </c>
      <c r="V115" s="20">
        <f>I115*'1-Data Input'!$D$9</f>
        <v>0</v>
      </c>
      <c r="W115" s="20">
        <f>J115*'1-Data Input'!$D$10</f>
        <v>0</v>
      </c>
      <c r="X115" s="20">
        <f>K115*'1-Data Input'!$D$11</f>
        <v>0</v>
      </c>
      <c r="Y115" s="20">
        <f>L115*'1-Data Input'!$D$12</f>
        <v>0</v>
      </c>
      <c r="Z115" s="21">
        <f>M115*'1-Data Input'!$D$13</f>
        <v>0</v>
      </c>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row>
    <row r="116" spans="1:56" x14ac:dyDescent="0.25">
      <c r="A116" s="32">
        <v>0.16666666666666699</v>
      </c>
      <c r="B116" s="33">
        <v>0</v>
      </c>
      <c r="C116" s="34">
        <v>0</v>
      </c>
      <c r="D116" s="34">
        <v>0</v>
      </c>
      <c r="E116" s="34">
        <v>0</v>
      </c>
      <c r="F116" s="34">
        <v>0</v>
      </c>
      <c r="G116" s="34">
        <v>0</v>
      </c>
      <c r="H116" s="34">
        <v>0</v>
      </c>
      <c r="I116" s="34">
        <v>0</v>
      </c>
      <c r="J116" s="34">
        <v>0</v>
      </c>
      <c r="K116" s="34">
        <v>0</v>
      </c>
      <c r="L116" s="34">
        <v>0</v>
      </c>
      <c r="M116" s="35">
        <v>0</v>
      </c>
      <c r="N116" s="32">
        <v>0.16666666666666699</v>
      </c>
      <c r="O116" s="20">
        <f>B116*'1-Data Input'!$D$2</f>
        <v>0</v>
      </c>
      <c r="P116" s="20">
        <f>C116*'1-Data Input'!$D$3</f>
        <v>0</v>
      </c>
      <c r="Q116" s="20">
        <f>D116*'1-Data Input'!$D$4</f>
        <v>0</v>
      </c>
      <c r="R116" s="20">
        <f>E116*'1-Data Input'!$D$5</f>
        <v>0</v>
      </c>
      <c r="S116" s="20">
        <f>F116*'1-Data Input'!$D$6</f>
        <v>0</v>
      </c>
      <c r="T116" s="20">
        <f>G116*'1-Data Input'!$D$7</f>
        <v>0</v>
      </c>
      <c r="U116" s="20">
        <f>H116*'1-Data Input'!$D$8</f>
        <v>0</v>
      </c>
      <c r="V116" s="20">
        <f>I116*'1-Data Input'!$D$9</f>
        <v>0</v>
      </c>
      <c r="W116" s="20">
        <f>J116*'1-Data Input'!$D$10</f>
        <v>0</v>
      </c>
      <c r="X116" s="20">
        <f>K116*'1-Data Input'!$D$11</f>
        <v>0</v>
      </c>
      <c r="Y116" s="20">
        <f>L116*'1-Data Input'!$D$12</f>
        <v>0</v>
      </c>
      <c r="Z116" s="21">
        <f>M116*'1-Data Input'!$D$13</f>
        <v>0</v>
      </c>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row>
    <row r="117" spans="1:56" x14ac:dyDescent="0.25">
      <c r="A117" s="32">
        <v>0.20833333333333301</v>
      </c>
      <c r="B117" s="33">
        <v>0</v>
      </c>
      <c r="C117" s="34">
        <v>0</v>
      </c>
      <c r="D117" s="34">
        <v>0</v>
      </c>
      <c r="E117" s="34">
        <v>0</v>
      </c>
      <c r="F117" s="34">
        <v>1.6694640580567559E-3</v>
      </c>
      <c r="G117" s="34">
        <v>6.6202878738384199E-3</v>
      </c>
      <c r="H117" s="34">
        <v>1.9306895124927878E-3</v>
      </c>
      <c r="I117" s="34">
        <v>0</v>
      </c>
      <c r="J117" s="34">
        <v>0</v>
      </c>
      <c r="K117" s="34">
        <v>0</v>
      </c>
      <c r="L117" s="34">
        <v>0</v>
      </c>
      <c r="M117" s="35">
        <v>0</v>
      </c>
      <c r="N117" s="32">
        <v>0.20833333333333301</v>
      </c>
      <c r="O117" s="20">
        <f>B117*'1-Data Input'!$D$2</f>
        <v>0</v>
      </c>
      <c r="P117" s="20">
        <f>C117*'1-Data Input'!$D$3</f>
        <v>0</v>
      </c>
      <c r="Q117" s="20">
        <f>D117*'1-Data Input'!$D$4</f>
        <v>0</v>
      </c>
      <c r="R117" s="20">
        <f>E117*'1-Data Input'!$D$5</f>
        <v>0</v>
      </c>
      <c r="S117" s="20">
        <f>F117*'1-Data Input'!$D$6</f>
        <v>0</v>
      </c>
      <c r="T117" s="20">
        <f>G117*'1-Data Input'!$D$7</f>
        <v>0</v>
      </c>
      <c r="U117" s="20">
        <f>H117*'1-Data Input'!$D$8</f>
        <v>0</v>
      </c>
      <c r="V117" s="20">
        <f>I117*'1-Data Input'!$D$9</f>
        <v>0</v>
      </c>
      <c r="W117" s="20">
        <f>J117*'1-Data Input'!$D$10</f>
        <v>0</v>
      </c>
      <c r="X117" s="20">
        <f>K117*'1-Data Input'!$D$11</f>
        <v>0</v>
      </c>
      <c r="Y117" s="20">
        <f>L117*'1-Data Input'!$D$12</f>
        <v>0</v>
      </c>
      <c r="Z117" s="21">
        <f>M117*'1-Data Input'!$D$13</f>
        <v>0</v>
      </c>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row>
    <row r="118" spans="1:56" x14ac:dyDescent="0.25">
      <c r="A118" s="32">
        <v>0.25</v>
      </c>
      <c r="B118" s="33">
        <v>0</v>
      </c>
      <c r="C118" s="34">
        <v>0</v>
      </c>
      <c r="D118" s="34">
        <v>0</v>
      </c>
      <c r="E118" s="34">
        <v>4.0167692000775447E-3</v>
      </c>
      <c r="F118" s="34">
        <v>1.6239159338844671E-2</v>
      </c>
      <c r="G118" s="34">
        <v>2.0198459304062624E-2</v>
      </c>
      <c r="H118" s="34">
        <v>1.5534042651493348E-2</v>
      </c>
      <c r="I118" s="34">
        <v>8.5460550299728995E-3</v>
      </c>
      <c r="J118" s="34">
        <v>6.8591950156833903E-5</v>
      </c>
      <c r="K118" s="34">
        <v>0</v>
      </c>
      <c r="L118" s="34">
        <v>0</v>
      </c>
      <c r="M118" s="35">
        <v>0</v>
      </c>
      <c r="N118" s="32">
        <v>0.25</v>
      </c>
      <c r="O118" s="20">
        <f>B118*'1-Data Input'!$D$2</f>
        <v>0</v>
      </c>
      <c r="P118" s="20">
        <f>C118*'1-Data Input'!$D$3</f>
        <v>0</v>
      </c>
      <c r="Q118" s="20">
        <f>D118*'1-Data Input'!$D$4</f>
        <v>0</v>
      </c>
      <c r="R118" s="20">
        <f>E118*'1-Data Input'!$D$5</f>
        <v>0</v>
      </c>
      <c r="S118" s="20">
        <f>F118*'1-Data Input'!$D$6</f>
        <v>0</v>
      </c>
      <c r="T118" s="20">
        <f>G118*'1-Data Input'!$D$7</f>
        <v>0</v>
      </c>
      <c r="U118" s="20">
        <f>H118*'1-Data Input'!$D$8</f>
        <v>0</v>
      </c>
      <c r="V118" s="20">
        <f>I118*'1-Data Input'!$D$9</f>
        <v>0</v>
      </c>
      <c r="W118" s="20">
        <f>J118*'1-Data Input'!$D$10</f>
        <v>0</v>
      </c>
      <c r="X118" s="20">
        <f>K118*'1-Data Input'!$D$11</f>
        <v>0</v>
      </c>
      <c r="Y118" s="20">
        <f>L118*'1-Data Input'!$D$12</f>
        <v>0</v>
      </c>
      <c r="Z118" s="21">
        <f>M118*'1-Data Input'!$D$13</f>
        <v>0</v>
      </c>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row>
    <row r="119" spans="1:56" x14ac:dyDescent="0.25">
      <c r="A119" s="32">
        <v>0.29166666666666702</v>
      </c>
      <c r="B119" s="33">
        <v>0</v>
      </c>
      <c r="C119" s="34">
        <v>0</v>
      </c>
      <c r="D119" s="34">
        <v>5.9357522844538232E-3</v>
      </c>
      <c r="E119" s="34">
        <v>2.7567730413013688E-2</v>
      </c>
      <c r="F119" s="34">
        <v>4.243639891895274E-2</v>
      </c>
      <c r="G119" s="34">
        <v>4.5794581917634608E-2</v>
      </c>
      <c r="H119" s="34">
        <v>4.0167482656000994E-2</v>
      </c>
      <c r="I119" s="34">
        <v>3.5338461569119475E-2</v>
      </c>
      <c r="J119" s="34">
        <v>1.8307960010372788E-2</v>
      </c>
      <c r="K119" s="34">
        <v>2.8633053690985777E-3</v>
      </c>
      <c r="L119" s="34">
        <v>8.9330427315130326E-4</v>
      </c>
      <c r="M119" s="35">
        <v>0</v>
      </c>
      <c r="N119" s="32">
        <v>0.29166666666666702</v>
      </c>
      <c r="O119" s="20">
        <f>B119*'1-Data Input'!$D$2</f>
        <v>0</v>
      </c>
      <c r="P119" s="20">
        <f>C119*'1-Data Input'!$D$3</f>
        <v>0</v>
      </c>
      <c r="Q119" s="20">
        <f>D119*'1-Data Input'!$D$4</f>
        <v>0</v>
      </c>
      <c r="R119" s="20">
        <f>E119*'1-Data Input'!$D$5</f>
        <v>0</v>
      </c>
      <c r="S119" s="20">
        <f>F119*'1-Data Input'!$D$6</f>
        <v>0</v>
      </c>
      <c r="T119" s="20">
        <f>G119*'1-Data Input'!$D$7</f>
        <v>0</v>
      </c>
      <c r="U119" s="20">
        <f>H119*'1-Data Input'!$D$8</f>
        <v>0</v>
      </c>
      <c r="V119" s="20">
        <f>I119*'1-Data Input'!$D$9</f>
        <v>0</v>
      </c>
      <c r="W119" s="20">
        <f>J119*'1-Data Input'!$D$10</f>
        <v>0</v>
      </c>
      <c r="X119" s="20">
        <f>K119*'1-Data Input'!$D$11</f>
        <v>0</v>
      </c>
      <c r="Y119" s="20">
        <f>L119*'1-Data Input'!$D$12</f>
        <v>0</v>
      </c>
      <c r="Z119" s="21">
        <f>M119*'1-Data Input'!$D$13</f>
        <v>0</v>
      </c>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row>
    <row r="120" spans="1:56" x14ac:dyDescent="0.25">
      <c r="A120" s="32">
        <v>0.33333333333333298</v>
      </c>
      <c r="B120" s="33">
        <v>0</v>
      </c>
      <c r="C120" s="34">
        <v>5.4723382891230937E-3</v>
      </c>
      <c r="D120" s="34">
        <v>3.6925595528140377E-2</v>
      </c>
      <c r="E120" s="34">
        <v>5.9886226972899838E-2</v>
      </c>
      <c r="F120" s="34">
        <v>7.1021361330620342E-2</v>
      </c>
      <c r="G120" s="34">
        <v>6.970554975586897E-2</v>
      </c>
      <c r="H120" s="34">
        <v>6.4916539644942942E-2</v>
      </c>
      <c r="I120" s="34">
        <v>6.4866110846268824E-2</v>
      </c>
      <c r="J120" s="34">
        <v>5.0210941705601045E-2</v>
      </c>
      <c r="K120" s="34">
        <v>3.6782153109793533E-2</v>
      </c>
      <c r="L120" s="34">
        <v>1.8917530912193514E-2</v>
      </c>
      <c r="M120" s="35">
        <v>6.3451586863049157E-3</v>
      </c>
      <c r="N120" s="32">
        <v>0.33333333333333298</v>
      </c>
      <c r="O120" s="20">
        <f>B120*'1-Data Input'!$D$2</f>
        <v>0</v>
      </c>
      <c r="P120" s="20">
        <f>C120*'1-Data Input'!$D$3</f>
        <v>0</v>
      </c>
      <c r="Q120" s="20">
        <f>D120*'1-Data Input'!$D$4</f>
        <v>0</v>
      </c>
      <c r="R120" s="20">
        <f>E120*'1-Data Input'!$D$5</f>
        <v>0</v>
      </c>
      <c r="S120" s="20">
        <f>F120*'1-Data Input'!$D$6</f>
        <v>0</v>
      </c>
      <c r="T120" s="20">
        <f>G120*'1-Data Input'!$D$7</f>
        <v>0</v>
      </c>
      <c r="U120" s="20">
        <f>H120*'1-Data Input'!$D$8</f>
        <v>0</v>
      </c>
      <c r="V120" s="20">
        <f>I120*'1-Data Input'!$D$9</f>
        <v>0</v>
      </c>
      <c r="W120" s="20">
        <f>J120*'1-Data Input'!$D$10</f>
        <v>0</v>
      </c>
      <c r="X120" s="20">
        <f>K120*'1-Data Input'!$D$11</f>
        <v>0</v>
      </c>
      <c r="Y120" s="20">
        <f>L120*'1-Data Input'!$D$12</f>
        <v>0</v>
      </c>
      <c r="Z120" s="21">
        <f>M120*'1-Data Input'!$D$13</f>
        <v>0</v>
      </c>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row>
    <row r="121" spans="1:56" x14ac:dyDescent="0.25">
      <c r="A121" s="32">
        <v>0.375</v>
      </c>
      <c r="B121" s="33">
        <v>2.2603021938131643E-2</v>
      </c>
      <c r="C121" s="34">
        <v>4.9162935257794367E-2</v>
      </c>
      <c r="D121" s="34">
        <v>7.6237311982417746E-2</v>
      </c>
      <c r="E121" s="34">
        <v>9.0771843875691663E-2</v>
      </c>
      <c r="F121" s="34">
        <v>9.2683636453649354E-2</v>
      </c>
      <c r="G121" s="34">
        <v>8.9369118782157295E-2</v>
      </c>
      <c r="H121" s="34">
        <v>8.9106655620728933E-2</v>
      </c>
      <c r="I121" s="34">
        <v>9.0597643923895702E-2</v>
      </c>
      <c r="J121" s="34">
        <v>8.639176062938092E-2</v>
      </c>
      <c r="K121" s="34">
        <v>8.7049797775210755E-2</v>
      </c>
      <c r="L121" s="34">
        <v>7.2839329074133194E-2</v>
      </c>
      <c r="M121" s="35">
        <v>4.600588410392726E-2</v>
      </c>
      <c r="N121" s="32">
        <v>0.375</v>
      </c>
      <c r="O121" s="20">
        <f>B121*'1-Data Input'!$D$2</f>
        <v>0</v>
      </c>
      <c r="P121" s="20">
        <f>C121*'1-Data Input'!$D$3</f>
        <v>0</v>
      </c>
      <c r="Q121" s="20">
        <f>D121*'1-Data Input'!$D$4</f>
        <v>0</v>
      </c>
      <c r="R121" s="20">
        <f>E121*'1-Data Input'!$D$5</f>
        <v>0</v>
      </c>
      <c r="S121" s="20">
        <f>F121*'1-Data Input'!$D$6</f>
        <v>0</v>
      </c>
      <c r="T121" s="20">
        <f>G121*'1-Data Input'!$D$7</f>
        <v>0</v>
      </c>
      <c r="U121" s="20">
        <f>H121*'1-Data Input'!$D$8</f>
        <v>0</v>
      </c>
      <c r="V121" s="20">
        <f>I121*'1-Data Input'!$D$9</f>
        <v>0</v>
      </c>
      <c r="W121" s="20">
        <f>J121*'1-Data Input'!$D$10</f>
        <v>0</v>
      </c>
      <c r="X121" s="20">
        <f>K121*'1-Data Input'!$D$11</f>
        <v>0</v>
      </c>
      <c r="Y121" s="20">
        <f>L121*'1-Data Input'!$D$12</f>
        <v>0</v>
      </c>
      <c r="Z121" s="21">
        <f>M121*'1-Data Input'!$D$13</f>
        <v>0</v>
      </c>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row>
    <row r="122" spans="1:56" x14ac:dyDescent="0.25">
      <c r="A122" s="32">
        <v>0.41666666666666702</v>
      </c>
      <c r="B122" s="33">
        <v>0.11875714792995477</v>
      </c>
      <c r="C122" s="34">
        <v>9.3211643899761235E-2</v>
      </c>
      <c r="D122" s="34">
        <v>0.10586584536746421</v>
      </c>
      <c r="E122" s="34">
        <v>0.1083398409899977</v>
      </c>
      <c r="F122" s="34">
        <v>0.11060387399641511</v>
      </c>
      <c r="G122" s="34">
        <v>0.1035544691863293</v>
      </c>
      <c r="H122" s="34">
        <v>0.10735759042875659</v>
      </c>
      <c r="I122" s="34">
        <v>0.1050130425221293</v>
      </c>
      <c r="J122" s="34">
        <v>0.10802933063463008</v>
      </c>
      <c r="K122" s="34">
        <v>0.13277957017857792</v>
      </c>
      <c r="L122" s="34">
        <v>0.13443926119731192</v>
      </c>
      <c r="M122" s="35">
        <v>0.11370771502494723</v>
      </c>
      <c r="N122" s="32">
        <v>0.41666666666666702</v>
      </c>
      <c r="O122" s="20">
        <f>B122*'1-Data Input'!$D$2</f>
        <v>0</v>
      </c>
      <c r="P122" s="20">
        <f>C122*'1-Data Input'!$D$3</f>
        <v>0</v>
      </c>
      <c r="Q122" s="20">
        <f>D122*'1-Data Input'!$D$4</f>
        <v>0</v>
      </c>
      <c r="R122" s="20">
        <f>E122*'1-Data Input'!$D$5</f>
        <v>0</v>
      </c>
      <c r="S122" s="20">
        <f>F122*'1-Data Input'!$D$6</f>
        <v>0</v>
      </c>
      <c r="T122" s="20">
        <f>G122*'1-Data Input'!$D$7</f>
        <v>0</v>
      </c>
      <c r="U122" s="20">
        <f>H122*'1-Data Input'!$D$8</f>
        <v>0</v>
      </c>
      <c r="V122" s="20">
        <f>I122*'1-Data Input'!$D$9</f>
        <v>0</v>
      </c>
      <c r="W122" s="20">
        <f>J122*'1-Data Input'!$D$10</f>
        <v>0</v>
      </c>
      <c r="X122" s="20">
        <f>K122*'1-Data Input'!$D$11</f>
        <v>0</v>
      </c>
      <c r="Y122" s="20">
        <f>L122*'1-Data Input'!$D$12</f>
        <v>0</v>
      </c>
      <c r="Z122" s="21">
        <f>M122*'1-Data Input'!$D$13</f>
        <v>0</v>
      </c>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row>
    <row r="123" spans="1:56" x14ac:dyDescent="0.25">
      <c r="A123" s="32">
        <v>0.45833333333333298</v>
      </c>
      <c r="B123" s="33">
        <v>0.18836313590125861</v>
      </c>
      <c r="C123" s="34">
        <v>0.12008607261355794</v>
      </c>
      <c r="D123" s="34">
        <v>0.12025076967207825</v>
      </c>
      <c r="E123" s="34">
        <v>0.11877612564828427</v>
      </c>
      <c r="F123" s="34">
        <v>0.11264811397628716</v>
      </c>
      <c r="G123" s="34">
        <v>9.3992290612989818E-2</v>
      </c>
      <c r="H123" s="34">
        <v>0.10311792970207656</v>
      </c>
      <c r="I123" s="34">
        <v>0.11568575408659665</v>
      </c>
      <c r="J123" s="34">
        <v>0.12799489448350715</v>
      </c>
      <c r="K123" s="34">
        <v>0.15325270846769526</v>
      </c>
      <c r="L123" s="34">
        <v>0.16527374081430229</v>
      </c>
      <c r="M123" s="35">
        <v>0.16481104903428431</v>
      </c>
      <c r="N123" s="32">
        <v>0.45833333333333298</v>
      </c>
      <c r="O123" s="20">
        <f>B123*'1-Data Input'!$D$2</f>
        <v>0</v>
      </c>
      <c r="P123" s="20">
        <f>C123*'1-Data Input'!$D$3</f>
        <v>0</v>
      </c>
      <c r="Q123" s="20">
        <f>D123*'1-Data Input'!$D$4</f>
        <v>0</v>
      </c>
      <c r="R123" s="20">
        <f>E123*'1-Data Input'!$D$5</f>
        <v>0</v>
      </c>
      <c r="S123" s="20">
        <f>F123*'1-Data Input'!$D$6</f>
        <v>0</v>
      </c>
      <c r="T123" s="20">
        <f>G123*'1-Data Input'!$D$7</f>
        <v>0</v>
      </c>
      <c r="U123" s="20">
        <f>H123*'1-Data Input'!$D$8</f>
        <v>0</v>
      </c>
      <c r="V123" s="20">
        <f>I123*'1-Data Input'!$D$9</f>
        <v>0</v>
      </c>
      <c r="W123" s="20">
        <f>J123*'1-Data Input'!$D$10</f>
        <v>0</v>
      </c>
      <c r="X123" s="20">
        <f>K123*'1-Data Input'!$D$11</f>
        <v>0</v>
      </c>
      <c r="Y123" s="20">
        <f>L123*'1-Data Input'!$D$12</f>
        <v>0</v>
      </c>
      <c r="Z123" s="21">
        <f>M123*'1-Data Input'!$D$13</f>
        <v>0</v>
      </c>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row>
    <row r="124" spans="1:56" x14ac:dyDescent="0.25">
      <c r="A124" s="32">
        <v>0.5</v>
      </c>
      <c r="B124" s="33">
        <v>0.19319641061800613</v>
      </c>
      <c r="C124" s="34">
        <v>0.15032752539125818</v>
      </c>
      <c r="D124" s="34">
        <v>0.13728411402614404</v>
      </c>
      <c r="E124" s="34">
        <v>0.12224563684500281</v>
      </c>
      <c r="F124" s="34">
        <v>0.10973738774110306</v>
      </c>
      <c r="G124" s="34">
        <v>0.10145337835819984</v>
      </c>
      <c r="H124" s="34">
        <v>0.11249780304989698</v>
      </c>
      <c r="I124" s="34">
        <v>0.11864354689453577</v>
      </c>
      <c r="J124" s="34">
        <v>0.13768054418047909</v>
      </c>
      <c r="K124" s="34">
        <v>0.16832733565505337</v>
      </c>
      <c r="L124" s="34">
        <v>0.16623969500298957</v>
      </c>
      <c r="M124" s="35">
        <v>0.18665165967738576</v>
      </c>
      <c r="N124" s="32">
        <v>0.5</v>
      </c>
      <c r="O124" s="20">
        <f>B124*'1-Data Input'!$D$2</f>
        <v>0</v>
      </c>
      <c r="P124" s="20">
        <f>C124*'1-Data Input'!$D$3</f>
        <v>0</v>
      </c>
      <c r="Q124" s="20">
        <f>D124*'1-Data Input'!$D$4</f>
        <v>0</v>
      </c>
      <c r="R124" s="20">
        <f>E124*'1-Data Input'!$D$5</f>
        <v>0</v>
      </c>
      <c r="S124" s="20">
        <f>F124*'1-Data Input'!$D$6</f>
        <v>0</v>
      </c>
      <c r="T124" s="20">
        <f>G124*'1-Data Input'!$D$7</f>
        <v>0</v>
      </c>
      <c r="U124" s="20">
        <f>H124*'1-Data Input'!$D$8</f>
        <v>0</v>
      </c>
      <c r="V124" s="20">
        <f>I124*'1-Data Input'!$D$9</f>
        <v>0</v>
      </c>
      <c r="W124" s="20">
        <f>J124*'1-Data Input'!$D$10</f>
        <v>0</v>
      </c>
      <c r="X124" s="20">
        <f>K124*'1-Data Input'!$D$11</f>
        <v>0</v>
      </c>
      <c r="Y124" s="20">
        <f>L124*'1-Data Input'!$D$12</f>
        <v>0</v>
      </c>
      <c r="Z124" s="21">
        <f>M124*'1-Data Input'!$D$13</f>
        <v>0</v>
      </c>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row>
    <row r="125" spans="1:56" x14ac:dyDescent="0.25">
      <c r="A125" s="32">
        <v>0.54166666666666696</v>
      </c>
      <c r="B125" s="33">
        <v>0.19292013961076526</v>
      </c>
      <c r="C125" s="34">
        <v>0.17599678144328554</v>
      </c>
      <c r="D125" s="34">
        <v>0.15413758657549484</v>
      </c>
      <c r="E125" s="34">
        <v>0.12979365356874201</v>
      </c>
      <c r="F125" s="34">
        <v>0.10583021416702569</v>
      </c>
      <c r="G125" s="34">
        <v>0.10022466121974695</v>
      </c>
      <c r="H125" s="34">
        <v>0.11474482471947994</v>
      </c>
      <c r="I125" s="34">
        <v>0.11546269169217729</v>
      </c>
      <c r="J125" s="34">
        <v>0.14432087011095221</v>
      </c>
      <c r="K125" s="34">
        <v>0.15634303463105526</v>
      </c>
      <c r="L125" s="34">
        <v>0.18279464698320796</v>
      </c>
      <c r="M125" s="35">
        <v>0.22024799622051816</v>
      </c>
      <c r="N125" s="32">
        <v>0.54166666666666696</v>
      </c>
      <c r="O125" s="20">
        <f>B125*'1-Data Input'!$D$2</f>
        <v>0</v>
      </c>
      <c r="P125" s="20">
        <f>C125*'1-Data Input'!$D$3</f>
        <v>0</v>
      </c>
      <c r="Q125" s="20">
        <f>D125*'1-Data Input'!$D$4</f>
        <v>0</v>
      </c>
      <c r="R125" s="20">
        <f>E125*'1-Data Input'!$D$5</f>
        <v>0</v>
      </c>
      <c r="S125" s="20">
        <f>F125*'1-Data Input'!$D$6</f>
        <v>0</v>
      </c>
      <c r="T125" s="20">
        <f>G125*'1-Data Input'!$D$7</f>
        <v>0</v>
      </c>
      <c r="U125" s="20">
        <f>H125*'1-Data Input'!$D$8</f>
        <v>0</v>
      </c>
      <c r="V125" s="20">
        <f>I125*'1-Data Input'!$D$9</f>
        <v>0</v>
      </c>
      <c r="W125" s="20">
        <f>J125*'1-Data Input'!$D$10</f>
        <v>0</v>
      </c>
      <c r="X125" s="20">
        <f>K125*'1-Data Input'!$D$11</f>
        <v>0</v>
      </c>
      <c r="Y125" s="20">
        <f>L125*'1-Data Input'!$D$12</f>
        <v>0</v>
      </c>
      <c r="Z125" s="21">
        <f>M125*'1-Data Input'!$D$13</f>
        <v>0</v>
      </c>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row>
    <row r="126" spans="1:56" x14ac:dyDescent="0.25">
      <c r="A126" s="32">
        <v>0.58333333333333304</v>
      </c>
      <c r="B126" s="33">
        <v>0.17063362736267143</v>
      </c>
      <c r="C126" s="34">
        <v>0.1880256492648964</v>
      </c>
      <c r="D126" s="34">
        <v>0.14083147716737812</v>
      </c>
      <c r="E126" s="34">
        <v>0.12211344852574998</v>
      </c>
      <c r="F126" s="34">
        <v>0.10096307778212525</v>
      </c>
      <c r="G126" s="34">
        <v>0.10112497803003624</v>
      </c>
      <c r="H126" s="34">
        <v>0.1028179544286187</v>
      </c>
      <c r="I126" s="34">
        <v>0.10787115662078678</v>
      </c>
      <c r="J126" s="34">
        <v>0.13254997661141929</v>
      </c>
      <c r="K126" s="34">
        <v>0.1286159487558719</v>
      </c>
      <c r="L126" s="34">
        <v>0.14891270359071151</v>
      </c>
      <c r="M126" s="35">
        <v>0.1813145362299978</v>
      </c>
      <c r="N126" s="32">
        <v>0.58333333333333304</v>
      </c>
      <c r="O126" s="20">
        <f>B126*'1-Data Input'!$D$2</f>
        <v>0</v>
      </c>
      <c r="P126" s="20">
        <f>C126*'1-Data Input'!$D$3</f>
        <v>0</v>
      </c>
      <c r="Q126" s="20">
        <f>D126*'1-Data Input'!$D$4</f>
        <v>0</v>
      </c>
      <c r="R126" s="20">
        <f>E126*'1-Data Input'!$D$5</f>
        <v>0</v>
      </c>
      <c r="S126" s="20">
        <f>F126*'1-Data Input'!$D$6</f>
        <v>0</v>
      </c>
      <c r="T126" s="20">
        <f>G126*'1-Data Input'!$D$7</f>
        <v>0</v>
      </c>
      <c r="U126" s="20">
        <f>H126*'1-Data Input'!$D$8</f>
        <v>0</v>
      </c>
      <c r="V126" s="20">
        <f>I126*'1-Data Input'!$D$9</f>
        <v>0</v>
      </c>
      <c r="W126" s="20">
        <f>J126*'1-Data Input'!$D$10</f>
        <v>0</v>
      </c>
      <c r="X126" s="20">
        <f>K126*'1-Data Input'!$D$11</f>
        <v>0</v>
      </c>
      <c r="Y126" s="20">
        <f>L126*'1-Data Input'!$D$12</f>
        <v>0</v>
      </c>
      <c r="Z126" s="21">
        <f>M126*'1-Data Input'!$D$13</f>
        <v>0</v>
      </c>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row>
    <row r="127" spans="1:56" x14ac:dyDescent="0.25">
      <c r="A127" s="32">
        <v>0.625</v>
      </c>
      <c r="B127" s="33">
        <v>0.10016734002311009</v>
      </c>
      <c r="C127" s="34">
        <v>0.14237260931513263</v>
      </c>
      <c r="D127" s="34">
        <v>0.10886859033959817</v>
      </c>
      <c r="E127" s="34">
        <v>9.9176918231113423E-2</v>
      </c>
      <c r="F127" s="34">
        <v>9.0436479463056232E-2</v>
      </c>
      <c r="G127" s="34">
        <v>9.4617066527929283E-2</v>
      </c>
      <c r="H127" s="34">
        <v>8.9637644489052232E-2</v>
      </c>
      <c r="I127" s="34">
        <v>9.1658442946885535E-2</v>
      </c>
      <c r="J127" s="34">
        <v>9.5941577008865089E-2</v>
      </c>
      <c r="K127" s="34">
        <v>9.3335141191375801E-2</v>
      </c>
      <c r="L127" s="34">
        <v>8.7334178439325005E-2</v>
      </c>
      <c r="M127" s="35">
        <v>7.2839435249418716E-2</v>
      </c>
      <c r="N127" s="32">
        <v>0.625</v>
      </c>
      <c r="O127" s="20">
        <f>B127*'1-Data Input'!$D$2</f>
        <v>0</v>
      </c>
      <c r="P127" s="20">
        <f>C127*'1-Data Input'!$D$3</f>
        <v>0</v>
      </c>
      <c r="Q127" s="20">
        <f>D127*'1-Data Input'!$D$4</f>
        <v>0</v>
      </c>
      <c r="R127" s="20">
        <f>E127*'1-Data Input'!$D$5</f>
        <v>0</v>
      </c>
      <c r="S127" s="20">
        <f>F127*'1-Data Input'!$D$6</f>
        <v>0</v>
      </c>
      <c r="T127" s="20">
        <f>G127*'1-Data Input'!$D$7</f>
        <v>0</v>
      </c>
      <c r="U127" s="20">
        <f>H127*'1-Data Input'!$D$8</f>
        <v>0</v>
      </c>
      <c r="V127" s="20">
        <f>I127*'1-Data Input'!$D$9</f>
        <v>0</v>
      </c>
      <c r="W127" s="20">
        <f>J127*'1-Data Input'!$D$10</f>
        <v>0</v>
      </c>
      <c r="X127" s="20">
        <f>K127*'1-Data Input'!$D$11</f>
        <v>0</v>
      </c>
      <c r="Y127" s="20">
        <f>L127*'1-Data Input'!$D$12</f>
        <v>0</v>
      </c>
      <c r="Z127" s="21">
        <f>M127*'1-Data Input'!$D$13</f>
        <v>0</v>
      </c>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row>
    <row r="128" spans="1:56" x14ac:dyDescent="0.25">
      <c r="A128" s="32">
        <v>0.66666666666666696</v>
      </c>
      <c r="B128" s="33">
        <v>1.3359176616101988E-2</v>
      </c>
      <c r="C128" s="34">
        <v>6.6497348756261856E-2</v>
      </c>
      <c r="D128" s="34">
        <v>7.8859297572259207E-2</v>
      </c>
      <c r="E128" s="34">
        <v>6.8865200743513919E-2</v>
      </c>
      <c r="F128" s="34">
        <v>6.9853749083480646E-2</v>
      </c>
      <c r="G128" s="34">
        <v>7.7164856815027688E-2</v>
      </c>
      <c r="H128" s="34">
        <v>7.1668132173514393E-2</v>
      </c>
      <c r="I128" s="34">
        <v>7.3026918999305732E-2</v>
      </c>
      <c r="J128" s="34">
        <v>6.4787930679514466E-2</v>
      </c>
      <c r="K128" s="34">
        <v>3.7478474975261147E-2</v>
      </c>
      <c r="L128" s="34">
        <v>2.1171806098732138E-2</v>
      </c>
      <c r="M128" s="35">
        <v>8.0765657732159296E-3</v>
      </c>
      <c r="N128" s="32">
        <v>0.66666666666666696</v>
      </c>
      <c r="O128" s="20">
        <f>B128*'1-Data Input'!$D$2</f>
        <v>0</v>
      </c>
      <c r="P128" s="20">
        <f>C128*'1-Data Input'!$D$3</f>
        <v>0</v>
      </c>
      <c r="Q128" s="20">
        <f>D128*'1-Data Input'!$D$4</f>
        <v>0</v>
      </c>
      <c r="R128" s="20">
        <f>E128*'1-Data Input'!$D$5</f>
        <v>0</v>
      </c>
      <c r="S128" s="20">
        <f>F128*'1-Data Input'!$D$6</f>
        <v>0</v>
      </c>
      <c r="T128" s="20">
        <f>G128*'1-Data Input'!$D$7</f>
        <v>0</v>
      </c>
      <c r="U128" s="20">
        <f>H128*'1-Data Input'!$D$8</f>
        <v>0</v>
      </c>
      <c r="V128" s="20">
        <f>I128*'1-Data Input'!$D$9</f>
        <v>0</v>
      </c>
      <c r="W128" s="20">
        <f>J128*'1-Data Input'!$D$10</f>
        <v>0</v>
      </c>
      <c r="X128" s="20">
        <f>K128*'1-Data Input'!$D$11</f>
        <v>0</v>
      </c>
      <c r="Y128" s="20">
        <f>L128*'1-Data Input'!$D$12</f>
        <v>0</v>
      </c>
      <c r="Z128" s="21">
        <f>M128*'1-Data Input'!$D$13</f>
        <v>0</v>
      </c>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row>
    <row r="129" spans="1:56" x14ac:dyDescent="0.25">
      <c r="A129" s="32">
        <v>0.70833333333333304</v>
      </c>
      <c r="B129" s="33">
        <v>0</v>
      </c>
      <c r="C129" s="34">
        <v>8.847095768928722E-3</v>
      </c>
      <c r="D129" s="34">
        <v>3.2381286256768581E-2</v>
      </c>
      <c r="E129" s="34">
        <v>3.7999276435278111E-2</v>
      </c>
      <c r="F129" s="34">
        <v>4.7731940201612325E-2</v>
      </c>
      <c r="G129" s="34">
        <v>5.4504376906632068E-2</v>
      </c>
      <c r="H129" s="34">
        <v>4.9559055693272673E-2</v>
      </c>
      <c r="I129" s="34">
        <v>4.8128480396952604E-2</v>
      </c>
      <c r="J129" s="34">
        <v>3.0399513342050023E-2</v>
      </c>
      <c r="K129" s="34">
        <v>3.1725298910065623E-3</v>
      </c>
      <c r="L129" s="34">
        <v>1.1838036139414081E-3</v>
      </c>
      <c r="M129" s="35">
        <v>0</v>
      </c>
      <c r="N129" s="32">
        <v>0.70833333333333304</v>
      </c>
      <c r="O129" s="20">
        <f>B129*'1-Data Input'!$D$2</f>
        <v>0</v>
      </c>
      <c r="P129" s="20">
        <f>C129*'1-Data Input'!$D$3</f>
        <v>0</v>
      </c>
      <c r="Q129" s="20">
        <f>D129*'1-Data Input'!$D$4</f>
        <v>0</v>
      </c>
      <c r="R129" s="20">
        <f>E129*'1-Data Input'!$D$5</f>
        <v>0</v>
      </c>
      <c r="S129" s="20">
        <f>F129*'1-Data Input'!$D$6</f>
        <v>0</v>
      </c>
      <c r="T129" s="20">
        <f>G129*'1-Data Input'!$D$7</f>
        <v>0</v>
      </c>
      <c r="U129" s="20">
        <f>H129*'1-Data Input'!$D$8</f>
        <v>0</v>
      </c>
      <c r="V129" s="20">
        <f>I129*'1-Data Input'!$D$9</f>
        <v>0</v>
      </c>
      <c r="W129" s="20">
        <f>J129*'1-Data Input'!$D$10</f>
        <v>0</v>
      </c>
      <c r="X129" s="20">
        <f>K129*'1-Data Input'!$D$11</f>
        <v>0</v>
      </c>
      <c r="Y129" s="20">
        <f>L129*'1-Data Input'!$D$12</f>
        <v>0</v>
      </c>
      <c r="Z129" s="21">
        <f>M129*'1-Data Input'!$D$13</f>
        <v>0</v>
      </c>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row>
    <row r="130" spans="1:56" x14ac:dyDescent="0.25">
      <c r="A130" s="32">
        <v>0.75</v>
      </c>
      <c r="B130" s="33">
        <v>0</v>
      </c>
      <c r="C130" s="34">
        <v>0</v>
      </c>
      <c r="D130" s="34">
        <v>2.4223732278026346E-3</v>
      </c>
      <c r="E130" s="34">
        <v>1.0397960557331089E-2</v>
      </c>
      <c r="F130" s="34">
        <v>2.3425442887619295E-2</v>
      </c>
      <c r="G130" s="34">
        <v>2.9780956716911486E-2</v>
      </c>
      <c r="H130" s="34">
        <v>2.8063671500320814E-2</v>
      </c>
      <c r="I130" s="34">
        <v>2.198805168584287E-2</v>
      </c>
      <c r="J130" s="34">
        <v>3.316108653070931E-3</v>
      </c>
      <c r="K130" s="34">
        <v>0</v>
      </c>
      <c r="L130" s="34">
        <v>0</v>
      </c>
      <c r="M130" s="35">
        <v>0</v>
      </c>
      <c r="N130" s="32">
        <v>0.75</v>
      </c>
      <c r="O130" s="20">
        <f>B130*'1-Data Input'!$D$2</f>
        <v>0</v>
      </c>
      <c r="P130" s="20">
        <f>C130*'1-Data Input'!$D$3</f>
        <v>0</v>
      </c>
      <c r="Q130" s="20">
        <f>D130*'1-Data Input'!$D$4</f>
        <v>0</v>
      </c>
      <c r="R130" s="20">
        <f>E130*'1-Data Input'!$D$5</f>
        <v>0</v>
      </c>
      <c r="S130" s="20">
        <f>F130*'1-Data Input'!$D$6</f>
        <v>0</v>
      </c>
      <c r="T130" s="20">
        <f>G130*'1-Data Input'!$D$7</f>
        <v>0</v>
      </c>
      <c r="U130" s="20">
        <f>H130*'1-Data Input'!$D$8</f>
        <v>0</v>
      </c>
      <c r="V130" s="20">
        <f>I130*'1-Data Input'!$D$9</f>
        <v>0</v>
      </c>
      <c r="W130" s="20">
        <f>J130*'1-Data Input'!$D$10</f>
        <v>0</v>
      </c>
      <c r="X130" s="20">
        <f>K130*'1-Data Input'!$D$11</f>
        <v>0</v>
      </c>
      <c r="Y130" s="20">
        <f>L130*'1-Data Input'!$D$12</f>
        <v>0</v>
      </c>
      <c r="Z130" s="21">
        <f>M130*'1-Data Input'!$D$13</f>
        <v>0</v>
      </c>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row>
    <row r="131" spans="1:56" x14ac:dyDescent="0.25">
      <c r="A131" s="32">
        <v>0.79166666666666696</v>
      </c>
      <c r="B131" s="33">
        <v>0</v>
      </c>
      <c r="C131" s="34">
        <v>0</v>
      </c>
      <c r="D131" s="34">
        <v>0</v>
      </c>
      <c r="E131" s="34">
        <v>4.9367993303758226E-5</v>
      </c>
      <c r="F131" s="34">
        <v>4.7197006011514076E-3</v>
      </c>
      <c r="G131" s="34">
        <v>1.1365637876319903E-2</v>
      </c>
      <c r="H131" s="34">
        <v>8.6667190289713893E-3</v>
      </c>
      <c r="I131" s="34">
        <v>3.1736427855304857E-3</v>
      </c>
      <c r="J131" s="34">
        <v>0</v>
      </c>
      <c r="K131" s="34">
        <v>0</v>
      </c>
      <c r="L131" s="34">
        <v>0</v>
      </c>
      <c r="M131" s="35">
        <v>0</v>
      </c>
      <c r="N131" s="32">
        <v>0.79166666666666696</v>
      </c>
      <c r="O131" s="20">
        <f>B131*'1-Data Input'!$D$2</f>
        <v>0</v>
      </c>
      <c r="P131" s="20">
        <f>C131*'1-Data Input'!$D$3</f>
        <v>0</v>
      </c>
      <c r="Q131" s="20">
        <f>D131*'1-Data Input'!$D$4</f>
        <v>0</v>
      </c>
      <c r="R131" s="20">
        <f>E131*'1-Data Input'!$D$5</f>
        <v>0</v>
      </c>
      <c r="S131" s="20">
        <f>F131*'1-Data Input'!$D$6</f>
        <v>0</v>
      </c>
      <c r="T131" s="20">
        <f>G131*'1-Data Input'!$D$7</f>
        <v>0</v>
      </c>
      <c r="U131" s="20">
        <f>H131*'1-Data Input'!$D$8</f>
        <v>0</v>
      </c>
      <c r="V131" s="20">
        <f>I131*'1-Data Input'!$D$9</f>
        <v>0</v>
      </c>
      <c r="W131" s="20">
        <f>J131*'1-Data Input'!$D$10</f>
        <v>0</v>
      </c>
      <c r="X131" s="20">
        <f>K131*'1-Data Input'!$D$11</f>
        <v>0</v>
      </c>
      <c r="Y131" s="20">
        <f>L131*'1-Data Input'!$D$12</f>
        <v>0</v>
      </c>
      <c r="Z131" s="21">
        <f>M131*'1-Data Input'!$D$13</f>
        <v>0</v>
      </c>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row>
    <row r="132" spans="1:56" x14ac:dyDescent="0.25">
      <c r="A132" s="32">
        <v>0.83333333333333304</v>
      </c>
      <c r="B132" s="33">
        <v>0</v>
      </c>
      <c r="C132" s="34">
        <v>0</v>
      </c>
      <c r="D132" s="34">
        <v>0</v>
      </c>
      <c r="E132" s="34">
        <v>0</v>
      </c>
      <c r="F132" s="34">
        <v>0</v>
      </c>
      <c r="G132" s="34">
        <v>5.293301163154969E-4</v>
      </c>
      <c r="H132" s="34">
        <v>2.1326470038061788E-4</v>
      </c>
      <c r="I132" s="34">
        <v>0</v>
      </c>
      <c r="J132" s="34">
        <v>0</v>
      </c>
      <c r="K132" s="34">
        <v>0</v>
      </c>
      <c r="L132" s="34">
        <v>0</v>
      </c>
      <c r="M132" s="35">
        <v>0</v>
      </c>
      <c r="N132" s="32">
        <v>0.83333333333333304</v>
      </c>
      <c r="O132" s="20">
        <f>B132*'1-Data Input'!$D$2</f>
        <v>0</v>
      </c>
      <c r="P132" s="20">
        <f>C132*'1-Data Input'!$D$3</f>
        <v>0</v>
      </c>
      <c r="Q132" s="20">
        <f>D132*'1-Data Input'!$D$4</f>
        <v>0</v>
      </c>
      <c r="R132" s="20">
        <f>E132*'1-Data Input'!$D$5</f>
        <v>0</v>
      </c>
      <c r="S132" s="20">
        <f>F132*'1-Data Input'!$D$6</f>
        <v>0</v>
      </c>
      <c r="T132" s="20">
        <f>G132*'1-Data Input'!$D$7</f>
        <v>0</v>
      </c>
      <c r="U132" s="20">
        <f>H132*'1-Data Input'!$D$8</f>
        <v>0</v>
      </c>
      <c r="V132" s="20">
        <f>I132*'1-Data Input'!$D$9</f>
        <v>0</v>
      </c>
      <c r="W132" s="20">
        <f>J132*'1-Data Input'!$D$10</f>
        <v>0</v>
      </c>
      <c r="X132" s="20">
        <f>K132*'1-Data Input'!$D$11</f>
        <v>0</v>
      </c>
      <c r="Y132" s="20">
        <f>L132*'1-Data Input'!$D$12</f>
        <v>0</v>
      </c>
      <c r="Z132" s="21">
        <f>M132*'1-Data Input'!$D$13</f>
        <v>0</v>
      </c>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row>
    <row r="133" spans="1:56" x14ac:dyDescent="0.25">
      <c r="A133" s="32">
        <v>0.875</v>
      </c>
      <c r="B133" s="33">
        <v>0</v>
      </c>
      <c r="C133" s="34">
        <v>0</v>
      </c>
      <c r="D133" s="34">
        <v>0</v>
      </c>
      <c r="E133" s="34">
        <v>0</v>
      </c>
      <c r="F133" s="34">
        <v>0</v>
      </c>
      <c r="G133" s="34">
        <v>0</v>
      </c>
      <c r="H133" s="34">
        <v>0</v>
      </c>
      <c r="I133" s="34">
        <v>0</v>
      </c>
      <c r="J133" s="34">
        <v>0</v>
      </c>
      <c r="K133" s="34">
        <v>0</v>
      </c>
      <c r="L133" s="34">
        <v>0</v>
      </c>
      <c r="M133" s="35">
        <v>0</v>
      </c>
      <c r="N133" s="32">
        <v>0.875</v>
      </c>
      <c r="O133" s="20">
        <f>B133*'1-Data Input'!$D$2</f>
        <v>0</v>
      </c>
      <c r="P133" s="20">
        <f>C133*'1-Data Input'!$D$3</f>
        <v>0</v>
      </c>
      <c r="Q133" s="20">
        <f>D133*'1-Data Input'!$D$4</f>
        <v>0</v>
      </c>
      <c r="R133" s="20">
        <f>E133*'1-Data Input'!$D$5</f>
        <v>0</v>
      </c>
      <c r="S133" s="20">
        <f>F133*'1-Data Input'!$D$6</f>
        <v>0</v>
      </c>
      <c r="T133" s="20">
        <f>G133*'1-Data Input'!$D$7</f>
        <v>0</v>
      </c>
      <c r="U133" s="20">
        <f>H133*'1-Data Input'!$D$8</f>
        <v>0</v>
      </c>
      <c r="V133" s="20">
        <f>I133*'1-Data Input'!$D$9</f>
        <v>0</v>
      </c>
      <c r="W133" s="20">
        <f>J133*'1-Data Input'!$D$10</f>
        <v>0</v>
      </c>
      <c r="X133" s="20">
        <f>K133*'1-Data Input'!$D$11</f>
        <v>0</v>
      </c>
      <c r="Y133" s="20">
        <f>L133*'1-Data Input'!$D$12</f>
        <v>0</v>
      </c>
      <c r="Z133" s="21">
        <f>M133*'1-Data Input'!$D$13</f>
        <v>0</v>
      </c>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row>
    <row r="134" spans="1:56" x14ac:dyDescent="0.25">
      <c r="A134" s="32">
        <v>0.91666666666666696</v>
      </c>
      <c r="B134" s="33">
        <v>0</v>
      </c>
      <c r="C134" s="34">
        <v>0</v>
      </c>
      <c r="D134" s="34">
        <v>0</v>
      </c>
      <c r="E134" s="34">
        <v>0</v>
      </c>
      <c r="F134" s="34">
        <v>0</v>
      </c>
      <c r="G134" s="34">
        <v>0</v>
      </c>
      <c r="H134" s="34">
        <v>0</v>
      </c>
      <c r="I134" s="34">
        <v>0</v>
      </c>
      <c r="J134" s="34">
        <v>0</v>
      </c>
      <c r="K134" s="34">
        <v>0</v>
      </c>
      <c r="L134" s="34">
        <v>0</v>
      </c>
      <c r="M134" s="35">
        <v>0</v>
      </c>
      <c r="N134" s="32">
        <v>0.91666666666666696</v>
      </c>
      <c r="O134" s="20">
        <f>B134*'1-Data Input'!$D$2</f>
        <v>0</v>
      </c>
      <c r="P134" s="20">
        <f>C134*'1-Data Input'!$D$3</f>
        <v>0</v>
      </c>
      <c r="Q134" s="20">
        <f>D134*'1-Data Input'!$D$4</f>
        <v>0</v>
      </c>
      <c r="R134" s="20">
        <f>E134*'1-Data Input'!$D$5</f>
        <v>0</v>
      </c>
      <c r="S134" s="20">
        <f>F134*'1-Data Input'!$D$6</f>
        <v>0</v>
      </c>
      <c r="T134" s="20">
        <f>G134*'1-Data Input'!$D$7</f>
        <v>0</v>
      </c>
      <c r="U134" s="20">
        <f>H134*'1-Data Input'!$D$8</f>
        <v>0</v>
      </c>
      <c r="V134" s="20">
        <f>I134*'1-Data Input'!$D$9</f>
        <v>0</v>
      </c>
      <c r="W134" s="20">
        <f>J134*'1-Data Input'!$D$10</f>
        <v>0</v>
      </c>
      <c r="X134" s="20">
        <f>K134*'1-Data Input'!$D$11</f>
        <v>0</v>
      </c>
      <c r="Y134" s="20">
        <f>L134*'1-Data Input'!$D$12</f>
        <v>0</v>
      </c>
      <c r="Z134" s="21">
        <f>M134*'1-Data Input'!$D$13</f>
        <v>0</v>
      </c>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row>
    <row r="135" spans="1:56" ht="15.75" thickBot="1" x14ac:dyDescent="0.3">
      <c r="A135" s="32">
        <v>0.95833333333333304</v>
      </c>
      <c r="B135" s="36">
        <v>0</v>
      </c>
      <c r="C135" s="37">
        <v>0</v>
      </c>
      <c r="D135" s="37">
        <v>0</v>
      </c>
      <c r="E135" s="37">
        <v>0</v>
      </c>
      <c r="F135" s="37">
        <v>0</v>
      </c>
      <c r="G135" s="37">
        <v>0</v>
      </c>
      <c r="H135" s="37">
        <v>0</v>
      </c>
      <c r="I135" s="37">
        <v>0</v>
      </c>
      <c r="J135" s="37">
        <v>0</v>
      </c>
      <c r="K135" s="37">
        <v>0</v>
      </c>
      <c r="L135" s="37">
        <v>0</v>
      </c>
      <c r="M135" s="38">
        <v>0</v>
      </c>
      <c r="N135" s="39">
        <v>0.95833333333333304</v>
      </c>
      <c r="O135" s="26">
        <f>B135*'1-Data Input'!$D$2</f>
        <v>0</v>
      </c>
      <c r="P135" s="26">
        <f>C135*'1-Data Input'!$D$3</f>
        <v>0</v>
      </c>
      <c r="Q135" s="26">
        <f>D135*'1-Data Input'!$D$4</f>
        <v>0</v>
      </c>
      <c r="R135" s="26">
        <f>E135*'1-Data Input'!$D$5</f>
        <v>0</v>
      </c>
      <c r="S135" s="26">
        <f>F135*'1-Data Input'!$D$6</f>
        <v>0</v>
      </c>
      <c r="T135" s="26">
        <f>G135*'1-Data Input'!$D$7</f>
        <v>0</v>
      </c>
      <c r="U135" s="26">
        <f>H135*'1-Data Input'!$D$8</f>
        <v>0</v>
      </c>
      <c r="V135" s="26">
        <f>I135*'1-Data Input'!$D$9</f>
        <v>0</v>
      </c>
      <c r="W135" s="26">
        <f>J135*'1-Data Input'!$D$10</f>
        <v>0</v>
      </c>
      <c r="X135" s="26">
        <f>K135*'1-Data Input'!$D$11</f>
        <v>0</v>
      </c>
      <c r="Y135" s="26">
        <f>L135*'1-Data Input'!$D$12</f>
        <v>0</v>
      </c>
      <c r="Z135" s="27">
        <f>M135*'1-Data Input'!$D$13</f>
        <v>0</v>
      </c>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row>
    <row r="136" spans="1:56" ht="26.25" x14ac:dyDescent="0.25">
      <c r="A136" s="73" t="s">
        <v>34</v>
      </c>
      <c r="B136" s="73"/>
      <c r="C136" s="73"/>
      <c r="D136" s="73"/>
      <c r="E136" s="73"/>
      <c r="F136" s="73"/>
      <c r="G136" s="71" t="s">
        <v>62</v>
      </c>
      <c r="H136" s="71"/>
      <c r="I136" s="71"/>
      <c r="J136" s="71"/>
      <c r="K136" s="71"/>
      <c r="L136" s="71"/>
      <c r="M136" s="71"/>
      <c r="N136" s="71"/>
      <c r="O136" s="71"/>
      <c r="P136" s="71"/>
      <c r="Q136" s="71"/>
      <c r="R136" s="71"/>
      <c r="S136" s="71"/>
      <c r="T136" s="71"/>
      <c r="U136" s="71"/>
      <c r="V136" s="71"/>
      <c r="W136" s="71"/>
      <c r="X136" s="71"/>
      <c r="Y136" s="71"/>
      <c r="Z136" s="72"/>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row>
    <row r="137" spans="1:56" ht="33.75" x14ac:dyDescent="0.5">
      <c r="A137" s="67" t="s">
        <v>35</v>
      </c>
      <c r="B137" s="67"/>
      <c r="C137" s="67"/>
      <c r="D137" s="67"/>
      <c r="E137" s="67"/>
      <c r="F137" s="67"/>
      <c r="G137" s="67"/>
      <c r="H137" s="67"/>
      <c r="I137" s="67"/>
      <c r="J137" s="67"/>
      <c r="K137" s="67"/>
      <c r="L137" s="67"/>
      <c r="M137" s="68"/>
      <c r="N137" s="69" t="s">
        <v>36</v>
      </c>
      <c r="O137" s="69"/>
      <c r="P137" s="69"/>
      <c r="Q137" s="69"/>
      <c r="R137" s="69"/>
      <c r="S137" s="69"/>
      <c r="T137" s="69"/>
      <c r="U137" s="69"/>
      <c r="V137" s="69"/>
      <c r="W137" s="69"/>
      <c r="X137" s="69"/>
      <c r="Y137" s="69"/>
      <c r="Z137" s="69"/>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row>
    <row r="138" spans="1:56" ht="46.5" x14ac:dyDescent="0.25">
      <c r="A138" s="28" t="s">
        <v>30</v>
      </c>
      <c r="B138" s="29" t="s">
        <v>16</v>
      </c>
      <c r="C138" s="29" t="s">
        <v>17</v>
      </c>
      <c r="D138" s="29" t="s">
        <v>18</v>
      </c>
      <c r="E138" s="29" t="s">
        <v>19</v>
      </c>
      <c r="F138" s="29" t="s">
        <v>4</v>
      </c>
      <c r="G138" s="29" t="s">
        <v>20</v>
      </c>
      <c r="H138" s="29" t="s">
        <v>21</v>
      </c>
      <c r="I138" s="29" t="s">
        <v>22</v>
      </c>
      <c r="J138" s="29" t="s">
        <v>23</v>
      </c>
      <c r="K138" s="29" t="s">
        <v>24</v>
      </c>
      <c r="L138" s="29" t="s">
        <v>25</v>
      </c>
      <c r="M138" s="30" t="s">
        <v>26</v>
      </c>
      <c r="N138" s="40" t="s">
        <v>30</v>
      </c>
      <c r="O138" s="40" t="s">
        <v>16</v>
      </c>
      <c r="P138" s="40" t="s">
        <v>17</v>
      </c>
      <c r="Q138" s="40" t="s">
        <v>18</v>
      </c>
      <c r="R138" s="40" t="s">
        <v>19</v>
      </c>
      <c r="S138" s="40" t="s">
        <v>4</v>
      </c>
      <c r="T138" s="40" t="s">
        <v>20</v>
      </c>
      <c r="U138" s="40" t="s">
        <v>21</v>
      </c>
      <c r="V138" s="40" t="s">
        <v>22</v>
      </c>
      <c r="W138" s="40" t="s">
        <v>23</v>
      </c>
      <c r="X138" s="40" t="s">
        <v>24</v>
      </c>
      <c r="Y138" s="40" t="s">
        <v>25</v>
      </c>
      <c r="Z138" s="40" t="s">
        <v>26</v>
      </c>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row>
    <row r="139" spans="1:56" x14ac:dyDescent="0.25">
      <c r="A139" s="32">
        <v>0</v>
      </c>
      <c r="B139" s="33">
        <v>0</v>
      </c>
      <c r="C139" s="34">
        <v>0</v>
      </c>
      <c r="D139" s="34">
        <v>0</v>
      </c>
      <c r="E139" s="34">
        <v>0</v>
      </c>
      <c r="F139" s="34">
        <v>0</v>
      </c>
      <c r="G139" s="34">
        <v>0</v>
      </c>
      <c r="H139" s="34">
        <v>0</v>
      </c>
      <c r="I139" s="34">
        <v>0</v>
      </c>
      <c r="J139" s="34">
        <v>0</v>
      </c>
      <c r="K139" s="34">
        <v>0</v>
      </c>
      <c r="L139" s="34">
        <v>0</v>
      </c>
      <c r="M139" s="35">
        <v>0</v>
      </c>
      <c r="N139" s="32">
        <v>0</v>
      </c>
      <c r="O139" s="20">
        <f>B139*'1-Data Input'!$E$2</f>
        <v>0</v>
      </c>
      <c r="P139" s="20">
        <f>C139*'1-Data Input'!$E$3</f>
        <v>0</v>
      </c>
      <c r="Q139" s="20">
        <f>D139*'1-Data Input'!$E$4</f>
        <v>0</v>
      </c>
      <c r="R139" s="20">
        <f>E139*'1-Data Input'!$E$5</f>
        <v>0</v>
      </c>
      <c r="S139" s="20">
        <f>F139*'1-Data Input'!$E$6</f>
        <v>0</v>
      </c>
      <c r="T139" s="20">
        <f>G139*'1-Data Input'!$E$7</f>
        <v>0</v>
      </c>
      <c r="U139" s="20">
        <f>H139*'1-Data Input'!$E$8</f>
        <v>0</v>
      </c>
      <c r="V139" s="20">
        <f>I139*'1-Data Input'!$E$9</f>
        <v>0</v>
      </c>
      <c r="W139" s="20">
        <f>J139*'1-Data Input'!$E$10</f>
        <v>0</v>
      </c>
      <c r="X139" s="20">
        <f>K139*'1-Data Input'!$E$11</f>
        <v>0</v>
      </c>
      <c r="Y139" s="20">
        <f>L139*'1-Data Input'!$E$12</f>
        <v>0</v>
      </c>
      <c r="Z139" s="20">
        <f>M139*'1-Data Input'!$E$13</f>
        <v>0</v>
      </c>
      <c r="AA139" s="41">
        <v>10</v>
      </c>
      <c r="AB139" s="41">
        <v>10</v>
      </c>
      <c r="AC139" s="41">
        <v>10</v>
      </c>
      <c r="AD139" s="41">
        <v>10</v>
      </c>
      <c r="AE139" s="41">
        <v>10</v>
      </c>
      <c r="AF139" s="41">
        <v>10</v>
      </c>
      <c r="AG139" s="41">
        <v>10</v>
      </c>
      <c r="AH139" s="41">
        <v>10</v>
      </c>
      <c r="AI139" s="41">
        <v>10</v>
      </c>
      <c r="AJ139" s="41">
        <v>10</v>
      </c>
      <c r="AK139" s="41">
        <v>10</v>
      </c>
      <c r="AL139" s="41">
        <v>10</v>
      </c>
      <c r="AM139" s="41">
        <v>10</v>
      </c>
      <c r="AN139" s="41">
        <v>10</v>
      </c>
      <c r="AO139" s="41">
        <v>10</v>
      </c>
      <c r="AP139" s="41">
        <v>10</v>
      </c>
      <c r="AQ139" s="41">
        <v>10</v>
      </c>
      <c r="AR139" s="41">
        <v>10</v>
      </c>
      <c r="AS139" s="41">
        <v>10</v>
      </c>
      <c r="AT139" s="41">
        <v>10</v>
      </c>
      <c r="AU139" s="41">
        <v>10</v>
      </c>
      <c r="AV139" s="41">
        <v>10</v>
      </c>
      <c r="AW139" s="41">
        <v>10</v>
      </c>
      <c r="AX139" s="41">
        <v>10</v>
      </c>
      <c r="AY139" s="41">
        <v>10</v>
      </c>
      <c r="AZ139" s="41">
        <v>10</v>
      </c>
      <c r="BA139" s="41">
        <v>10</v>
      </c>
      <c r="BB139" s="41">
        <v>10</v>
      </c>
      <c r="BC139" s="41">
        <v>10</v>
      </c>
      <c r="BD139" s="41">
        <v>10</v>
      </c>
    </row>
    <row r="140" spans="1:56" x14ac:dyDescent="0.25">
      <c r="A140" s="32">
        <v>4.1666666666666699E-2</v>
      </c>
      <c r="B140" s="33">
        <v>0</v>
      </c>
      <c r="C140" s="34">
        <v>0</v>
      </c>
      <c r="D140" s="34">
        <v>0</v>
      </c>
      <c r="E140" s="34">
        <v>0</v>
      </c>
      <c r="F140" s="34">
        <v>0</v>
      </c>
      <c r="G140" s="34">
        <v>0</v>
      </c>
      <c r="H140" s="34">
        <v>0</v>
      </c>
      <c r="I140" s="34">
        <v>0</v>
      </c>
      <c r="J140" s="34">
        <v>0</v>
      </c>
      <c r="K140" s="34">
        <v>0</v>
      </c>
      <c r="L140" s="34">
        <v>0</v>
      </c>
      <c r="M140" s="35">
        <v>0</v>
      </c>
      <c r="N140" s="32">
        <v>4.1666666666666699E-2</v>
      </c>
      <c r="O140" s="20">
        <f>B140*'1-Data Input'!$E$2</f>
        <v>0</v>
      </c>
      <c r="P140" s="20">
        <f>C140*'1-Data Input'!$E$3</f>
        <v>0</v>
      </c>
      <c r="Q140" s="20">
        <f>D140*'1-Data Input'!$E$4</f>
        <v>0</v>
      </c>
      <c r="R140" s="20">
        <f>E140*'1-Data Input'!$E$5</f>
        <v>0</v>
      </c>
      <c r="S140" s="20">
        <f>F140*'1-Data Input'!$E$6</f>
        <v>0</v>
      </c>
      <c r="T140" s="20">
        <f>G140*'1-Data Input'!$E$7</f>
        <v>0</v>
      </c>
      <c r="U140" s="20">
        <f>H140*'1-Data Input'!$E$8</f>
        <v>0</v>
      </c>
      <c r="V140" s="20">
        <f>I140*'1-Data Input'!$E$9</f>
        <v>0</v>
      </c>
      <c r="W140" s="20">
        <f>J140*'1-Data Input'!$E$10</f>
        <v>0</v>
      </c>
      <c r="X140" s="20">
        <f>K140*'1-Data Input'!$E$11</f>
        <v>0</v>
      </c>
      <c r="Y140" s="20">
        <f>L140*'1-Data Input'!$E$12</f>
        <v>0</v>
      </c>
      <c r="Z140" s="20">
        <f>M140*'1-Data Input'!$E$13</f>
        <v>0</v>
      </c>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row>
    <row r="141" spans="1:56" x14ac:dyDescent="0.25">
      <c r="A141" s="32">
        <v>8.3333333333333301E-2</v>
      </c>
      <c r="B141" s="33">
        <v>0</v>
      </c>
      <c r="C141" s="34">
        <v>0</v>
      </c>
      <c r="D141" s="34">
        <v>0</v>
      </c>
      <c r="E141" s="34">
        <v>0</v>
      </c>
      <c r="F141" s="34">
        <v>0</v>
      </c>
      <c r="G141" s="34">
        <v>0</v>
      </c>
      <c r="H141" s="34">
        <v>0</v>
      </c>
      <c r="I141" s="34">
        <v>0</v>
      </c>
      <c r="J141" s="34">
        <v>0</v>
      </c>
      <c r="K141" s="34">
        <v>0</v>
      </c>
      <c r="L141" s="34">
        <v>0</v>
      </c>
      <c r="M141" s="35">
        <v>0</v>
      </c>
      <c r="N141" s="32">
        <v>8.3333333333333301E-2</v>
      </c>
      <c r="O141" s="20">
        <f>B141*'1-Data Input'!$E$2</f>
        <v>0</v>
      </c>
      <c r="P141" s="20">
        <f>C141*'1-Data Input'!$E$3</f>
        <v>0</v>
      </c>
      <c r="Q141" s="20">
        <f>D141*'1-Data Input'!$E$4</f>
        <v>0</v>
      </c>
      <c r="R141" s="20">
        <f>E141*'1-Data Input'!$E$5</f>
        <v>0</v>
      </c>
      <c r="S141" s="20">
        <f>F141*'1-Data Input'!$E$6</f>
        <v>0</v>
      </c>
      <c r="T141" s="20">
        <f>G141*'1-Data Input'!$E$7</f>
        <v>0</v>
      </c>
      <c r="U141" s="20">
        <f>H141*'1-Data Input'!$E$8</f>
        <v>0</v>
      </c>
      <c r="V141" s="20">
        <f>I141*'1-Data Input'!$E$9</f>
        <v>0</v>
      </c>
      <c r="W141" s="20">
        <f>J141*'1-Data Input'!$E$10</f>
        <v>0</v>
      </c>
      <c r="X141" s="20">
        <f>K141*'1-Data Input'!$E$11</f>
        <v>0</v>
      </c>
      <c r="Y141" s="20">
        <f>L141*'1-Data Input'!$E$12</f>
        <v>0</v>
      </c>
      <c r="Z141" s="20">
        <f>M141*'1-Data Input'!$E$13</f>
        <v>0</v>
      </c>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row>
    <row r="142" spans="1:56" x14ac:dyDescent="0.25">
      <c r="A142" s="32">
        <v>0.125</v>
      </c>
      <c r="B142" s="33">
        <v>0</v>
      </c>
      <c r="C142" s="34">
        <v>0</v>
      </c>
      <c r="D142" s="34">
        <v>0</v>
      </c>
      <c r="E142" s="34">
        <v>0</v>
      </c>
      <c r="F142" s="34">
        <v>1.5352446656412846E-3</v>
      </c>
      <c r="G142" s="34">
        <v>3.4893296707328189E-3</v>
      </c>
      <c r="H142" s="34">
        <v>1.923388806650746E-3</v>
      </c>
      <c r="I142" s="34">
        <v>0</v>
      </c>
      <c r="J142" s="34">
        <v>0</v>
      </c>
      <c r="K142" s="34">
        <v>0</v>
      </c>
      <c r="L142" s="34">
        <v>0</v>
      </c>
      <c r="M142" s="35">
        <v>0</v>
      </c>
      <c r="N142" s="32">
        <v>0.125</v>
      </c>
      <c r="O142" s="20">
        <f>B142*'1-Data Input'!$E$2</f>
        <v>0</v>
      </c>
      <c r="P142" s="20">
        <f>C142*'1-Data Input'!$E$3</f>
        <v>0</v>
      </c>
      <c r="Q142" s="20">
        <f>D142*'1-Data Input'!$E$4</f>
        <v>0</v>
      </c>
      <c r="R142" s="20">
        <f>E142*'1-Data Input'!$E$5</f>
        <v>0</v>
      </c>
      <c r="S142" s="20">
        <f>F142*'1-Data Input'!$E$6</f>
        <v>0</v>
      </c>
      <c r="T142" s="20">
        <f>G142*'1-Data Input'!$E$7</f>
        <v>0</v>
      </c>
      <c r="U142" s="20">
        <f>H142*'1-Data Input'!$E$8</f>
        <v>0</v>
      </c>
      <c r="V142" s="20">
        <f>I142*'1-Data Input'!$E$9</f>
        <v>0</v>
      </c>
      <c r="W142" s="20">
        <f>J142*'1-Data Input'!$E$10</f>
        <v>0</v>
      </c>
      <c r="X142" s="20">
        <f>K142*'1-Data Input'!$E$11</f>
        <v>0</v>
      </c>
      <c r="Y142" s="20">
        <f>L142*'1-Data Input'!$E$12</f>
        <v>0</v>
      </c>
      <c r="Z142" s="20">
        <f>M142*'1-Data Input'!$E$13</f>
        <v>0</v>
      </c>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row>
    <row r="143" spans="1:56" x14ac:dyDescent="0.25">
      <c r="A143" s="32">
        <v>0.16666666666666699</v>
      </c>
      <c r="B143" s="33">
        <v>0</v>
      </c>
      <c r="C143" s="34">
        <v>0</v>
      </c>
      <c r="D143" s="34">
        <v>0</v>
      </c>
      <c r="E143" s="34">
        <v>0</v>
      </c>
      <c r="F143" s="34">
        <v>1.5352446656412846E-3</v>
      </c>
      <c r="G143" s="34">
        <v>3.4893296707328189E-3</v>
      </c>
      <c r="H143" s="34">
        <v>1.923388806650746E-3</v>
      </c>
      <c r="I143" s="34">
        <v>0</v>
      </c>
      <c r="J143" s="34">
        <v>0</v>
      </c>
      <c r="K143" s="34">
        <v>0</v>
      </c>
      <c r="L143" s="34">
        <v>0</v>
      </c>
      <c r="M143" s="35">
        <v>0</v>
      </c>
      <c r="N143" s="32">
        <v>0.16666666666666699</v>
      </c>
      <c r="O143" s="20">
        <f>B143*'1-Data Input'!$E$2</f>
        <v>0</v>
      </c>
      <c r="P143" s="20">
        <f>C143*'1-Data Input'!$E$3</f>
        <v>0</v>
      </c>
      <c r="Q143" s="20">
        <f>D143*'1-Data Input'!$E$4</f>
        <v>0</v>
      </c>
      <c r="R143" s="20">
        <f>E143*'1-Data Input'!$E$5</f>
        <v>0</v>
      </c>
      <c r="S143" s="20">
        <f>F143*'1-Data Input'!$E$6</f>
        <v>0</v>
      </c>
      <c r="T143" s="20">
        <f>G143*'1-Data Input'!$E$7</f>
        <v>0</v>
      </c>
      <c r="U143" s="20">
        <f>H143*'1-Data Input'!$E$8</f>
        <v>0</v>
      </c>
      <c r="V143" s="20">
        <f>I143*'1-Data Input'!$E$9</f>
        <v>0</v>
      </c>
      <c r="W143" s="20">
        <f>J143*'1-Data Input'!$E$10</f>
        <v>0</v>
      </c>
      <c r="X143" s="20">
        <f>K143*'1-Data Input'!$E$11</f>
        <v>0</v>
      </c>
      <c r="Y143" s="20">
        <f>L143*'1-Data Input'!$E$12</f>
        <v>0</v>
      </c>
      <c r="Z143" s="20">
        <f>M143*'1-Data Input'!$E$13</f>
        <v>0</v>
      </c>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row>
    <row r="144" spans="1:56" x14ac:dyDescent="0.25">
      <c r="A144" s="32">
        <v>0.20833333333333301</v>
      </c>
      <c r="B144" s="33">
        <v>0</v>
      </c>
      <c r="C144" s="34">
        <v>0</v>
      </c>
      <c r="D144" s="34">
        <v>0</v>
      </c>
      <c r="E144" s="34">
        <v>2.8870760721004351E-3</v>
      </c>
      <c r="F144" s="34">
        <v>1.0530263278801341E-2</v>
      </c>
      <c r="G144" s="34">
        <v>1.5633858044890023E-2</v>
      </c>
      <c r="H144" s="34">
        <v>1.1449027880461236E-2</v>
      </c>
      <c r="I144" s="34">
        <v>5.1134113272779209E-3</v>
      </c>
      <c r="J144" s="34">
        <v>3.9845547269296998E-4</v>
      </c>
      <c r="K144" s="34">
        <v>0</v>
      </c>
      <c r="L144" s="34">
        <v>0</v>
      </c>
      <c r="M144" s="35">
        <v>0</v>
      </c>
      <c r="N144" s="32">
        <v>0.20833333333333301</v>
      </c>
      <c r="O144" s="20">
        <f>B144*'1-Data Input'!$E$2</f>
        <v>0</v>
      </c>
      <c r="P144" s="20">
        <f>C144*'1-Data Input'!$E$3</f>
        <v>0</v>
      </c>
      <c r="Q144" s="20">
        <f>D144*'1-Data Input'!$E$4</f>
        <v>0</v>
      </c>
      <c r="R144" s="20">
        <f>E144*'1-Data Input'!$E$5</f>
        <v>0</v>
      </c>
      <c r="S144" s="20">
        <f>F144*'1-Data Input'!$E$6</f>
        <v>0</v>
      </c>
      <c r="T144" s="20">
        <f>G144*'1-Data Input'!$E$7</f>
        <v>0</v>
      </c>
      <c r="U144" s="20">
        <f>H144*'1-Data Input'!$E$8</f>
        <v>0</v>
      </c>
      <c r="V144" s="20">
        <f>I144*'1-Data Input'!$E$9</f>
        <v>0</v>
      </c>
      <c r="W144" s="20">
        <f>J144*'1-Data Input'!$E$10</f>
        <v>0</v>
      </c>
      <c r="X144" s="20">
        <f>K144*'1-Data Input'!$E$11</f>
        <v>0</v>
      </c>
      <c r="Y144" s="20">
        <f>L144*'1-Data Input'!$E$12</f>
        <v>0</v>
      </c>
      <c r="Z144" s="20">
        <f>M144*'1-Data Input'!$E$13</f>
        <v>0</v>
      </c>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row>
    <row r="145" spans="1:56" x14ac:dyDescent="0.25">
      <c r="A145" s="32">
        <v>0.25</v>
      </c>
      <c r="B145" s="33">
        <v>0</v>
      </c>
      <c r="C145" s="34">
        <v>0</v>
      </c>
      <c r="D145" s="34">
        <v>2.6331378081343535E-3</v>
      </c>
      <c r="E145" s="34">
        <v>1.7277388070396815E-2</v>
      </c>
      <c r="F145" s="34">
        <v>3.1004164898046971E-2</v>
      </c>
      <c r="G145" s="34">
        <v>3.4232486319778925E-2</v>
      </c>
      <c r="H145" s="34">
        <v>3.0550327361312437E-2</v>
      </c>
      <c r="I145" s="34">
        <v>2.2669855668104963E-2</v>
      </c>
      <c r="J145" s="34">
        <v>1.0836127246740743E-2</v>
      </c>
      <c r="K145" s="34">
        <v>1.7993479476547374E-3</v>
      </c>
      <c r="L145" s="34">
        <v>0</v>
      </c>
      <c r="M145" s="35">
        <v>0</v>
      </c>
      <c r="N145" s="32">
        <v>0.25</v>
      </c>
      <c r="O145" s="20">
        <f>B145*'1-Data Input'!$E$2</f>
        <v>0</v>
      </c>
      <c r="P145" s="20">
        <f>C145*'1-Data Input'!$E$3</f>
        <v>0</v>
      </c>
      <c r="Q145" s="20">
        <f>D145*'1-Data Input'!$E$4</f>
        <v>0</v>
      </c>
      <c r="R145" s="20">
        <f>E145*'1-Data Input'!$E$5</f>
        <v>0</v>
      </c>
      <c r="S145" s="20">
        <f>F145*'1-Data Input'!$E$6</f>
        <v>0</v>
      </c>
      <c r="T145" s="20">
        <f>G145*'1-Data Input'!$E$7</f>
        <v>0</v>
      </c>
      <c r="U145" s="20">
        <f>H145*'1-Data Input'!$E$8</f>
        <v>0</v>
      </c>
      <c r="V145" s="20">
        <f>I145*'1-Data Input'!$E$9</f>
        <v>0</v>
      </c>
      <c r="W145" s="20">
        <f>J145*'1-Data Input'!$E$10</f>
        <v>0</v>
      </c>
      <c r="X145" s="20">
        <f>K145*'1-Data Input'!$E$11</f>
        <v>0</v>
      </c>
      <c r="Y145" s="20">
        <f>L145*'1-Data Input'!$E$12</f>
        <v>0</v>
      </c>
      <c r="Z145" s="20">
        <f>M145*'1-Data Input'!$E$13</f>
        <v>0</v>
      </c>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row>
    <row r="146" spans="1:56" x14ac:dyDescent="0.25">
      <c r="A146" s="32">
        <v>0.29166666666666702</v>
      </c>
      <c r="B146" s="33">
        <v>0</v>
      </c>
      <c r="C146" s="34">
        <v>4.0393022710036967E-3</v>
      </c>
      <c r="D146" s="34">
        <v>1.9562693806289805E-2</v>
      </c>
      <c r="E146" s="34">
        <v>4.4874136477283402E-2</v>
      </c>
      <c r="F146" s="34">
        <v>5.5942280301526121E-2</v>
      </c>
      <c r="G146" s="34">
        <v>5.5561876536724772E-2</v>
      </c>
      <c r="H146" s="34">
        <v>5.2566884246923413E-2</v>
      </c>
      <c r="I146" s="34">
        <v>4.8253730974396218E-2</v>
      </c>
      <c r="J146" s="34">
        <v>3.9827064569373169E-2</v>
      </c>
      <c r="K146" s="34">
        <v>1.9658141366482567E-2</v>
      </c>
      <c r="L146" s="34">
        <v>4.7613524479028129E-3</v>
      </c>
      <c r="M146" s="35">
        <v>0</v>
      </c>
      <c r="N146" s="32">
        <v>0.29166666666666702</v>
      </c>
      <c r="O146" s="20">
        <f>B146*'1-Data Input'!$E$2</f>
        <v>0</v>
      </c>
      <c r="P146" s="20">
        <f>C146*'1-Data Input'!$E$3</f>
        <v>0</v>
      </c>
      <c r="Q146" s="20">
        <f>D146*'1-Data Input'!$E$4</f>
        <v>0</v>
      </c>
      <c r="R146" s="20">
        <f>E146*'1-Data Input'!$E$5</f>
        <v>0</v>
      </c>
      <c r="S146" s="20">
        <f>F146*'1-Data Input'!$E$6</f>
        <v>0</v>
      </c>
      <c r="T146" s="20">
        <f>G146*'1-Data Input'!$E$7</f>
        <v>0</v>
      </c>
      <c r="U146" s="20">
        <f>H146*'1-Data Input'!$E$8</f>
        <v>0</v>
      </c>
      <c r="V146" s="20">
        <f>I146*'1-Data Input'!$E$9</f>
        <v>0</v>
      </c>
      <c r="W146" s="20">
        <f>J146*'1-Data Input'!$E$10</f>
        <v>0</v>
      </c>
      <c r="X146" s="20">
        <f>K146*'1-Data Input'!$E$11</f>
        <v>0</v>
      </c>
      <c r="Y146" s="20">
        <f>L146*'1-Data Input'!$E$12</f>
        <v>0</v>
      </c>
      <c r="Z146" s="20">
        <f>M146*'1-Data Input'!$E$13</f>
        <v>0</v>
      </c>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row>
    <row r="147" spans="1:56" x14ac:dyDescent="0.25">
      <c r="A147" s="32">
        <v>0.33333333333333298</v>
      </c>
      <c r="B147" s="33">
        <v>1.6816834179733432E-2</v>
      </c>
      <c r="C147" s="34">
        <v>2.7758931178871654E-2</v>
      </c>
      <c r="D147" s="34">
        <v>5.4633749927551337E-2</v>
      </c>
      <c r="E147" s="34">
        <v>7.3033621616108435E-2</v>
      </c>
      <c r="F147" s="34">
        <v>7.749142894180483E-2</v>
      </c>
      <c r="G147" s="34">
        <v>7.5661805901013346E-2</v>
      </c>
      <c r="H147" s="34">
        <v>7.231613069219861E-2</v>
      </c>
      <c r="I147" s="34">
        <v>7.5137940331573325E-2</v>
      </c>
      <c r="J147" s="34">
        <v>7.3019466043232117E-2</v>
      </c>
      <c r="K147" s="34">
        <v>5.8524202602758688E-2</v>
      </c>
      <c r="L147" s="34">
        <v>3.5340255128327377E-2</v>
      </c>
      <c r="M147" s="35">
        <v>1.6221505242400604E-2</v>
      </c>
      <c r="N147" s="32">
        <v>0.33333333333333298</v>
      </c>
      <c r="O147" s="20">
        <f>B147*'1-Data Input'!$E$2</f>
        <v>0</v>
      </c>
      <c r="P147" s="20">
        <f>C147*'1-Data Input'!$E$3</f>
        <v>0</v>
      </c>
      <c r="Q147" s="20">
        <f>D147*'1-Data Input'!$E$4</f>
        <v>0</v>
      </c>
      <c r="R147" s="20">
        <f>E147*'1-Data Input'!$E$5</f>
        <v>0</v>
      </c>
      <c r="S147" s="20">
        <f>F147*'1-Data Input'!$E$6</f>
        <v>0</v>
      </c>
      <c r="T147" s="20">
        <f>G147*'1-Data Input'!$E$7</f>
        <v>0</v>
      </c>
      <c r="U147" s="20">
        <f>H147*'1-Data Input'!$E$8</f>
        <v>0</v>
      </c>
      <c r="V147" s="20">
        <f>I147*'1-Data Input'!$E$9</f>
        <v>0</v>
      </c>
      <c r="W147" s="20">
        <f>J147*'1-Data Input'!$E$10</f>
        <v>0</v>
      </c>
      <c r="X147" s="20">
        <f>K147*'1-Data Input'!$E$11</f>
        <v>0</v>
      </c>
      <c r="Y147" s="20">
        <f>L147*'1-Data Input'!$E$12</f>
        <v>0</v>
      </c>
      <c r="Z147" s="20">
        <f>M147*'1-Data Input'!$E$13</f>
        <v>0</v>
      </c>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row>
    <row r="148" spans="1:56" x14ac:dyDescent="0.25">
      <c r="A148" s="32">
        <v>0.375</v>
      </c>
      <c r="B148" s="33">
        <v>7.1119914585133767E-2</v>
      </c>
      <c r="C148" s="34">
        <v>7.308090951270288E-2</v>
      </c>
      <c r="D148" s="34">
        <v>8.9742970875908906E-2</v>
      </c>
      <c r="E148" s="34">
        <v>9.8691173282025993E-2</v>
      </c>
      <c r="F148" s="34">
        <v>9.6116931435903954E-2</v>
      </c>
      <c r="G148" s="34">
        <v>9.1423665798995815E-2</v>
      </c>
      <c r="H148" s="34">
        <v>8.7913034040591115E-2</v>
      </c>
      <c r="I148" s="34">
        <v>9.6710707168310525E-2</v>
      </c>
      <c r="J148" s="34">
        <v>0.10245830507843975</v>
      </c>
      <c r="K148" s="34">
        <v>9.658841374791291E-2</v>
      </c>
      <c r="L148" s="34">
        <v>9.4662354954092975E-2</v>
      </c>
      <c r="M148" s="35">
        <v>7.3988324696104626E-2</v>
      </c>
      <c r="N148" s="32">
        <v>0.375</v>
      </c>
      <c r="O148" s="20">
        <f>B148*'1-Data Input'!$E$2</f>
        <v>0</v>
      </c>
      <c r="P148" s="20">
        <f>C148*'1-Data Input'!$E$3</f>
        <v>0</v>
      </c>
      <c r="Q148" s="20">
        <f>D148*'1-Data Input'!$E$4</f>
        <v>0</v>
      </c>
      <c r="R148" s="20">
        <f>E148*'1-Data Input'!$E$5</f>
        <v>0</v>
      </c>
      <c r="S148" s="20">
        <f>F148*'1-Data Input'!$E$6</f>
        <v>0</v>
      </c>
      <c r="T148" s="20">
        <f>G148*'1-Data Input'!$E$7</f>
        <v>0</v>
      </c>
      <c r="U148" s="20">
        <f>H148*'1-Data Input'!$E$8</f>
        <v>0</v>
      </c>
      <c r="V148" s="20">
        <f>I148*'1-Data Input'!$E$9</f>
        <v>0</v>
      </c>
      <c r="W148" s="20">
        <f>J148*'1-Data Input'!$E$10</f>
        <v>0</v>
      </c>
      <c r="X148" s="20">
        <f>K148*'1-Data Input'!$E$11</f>
        <v>0</v>
      </c>
      <c r="Y148" s="20">
        <f>L148*'1-Data Input'!$E$12</f>
        <v>0</v>
      </c>
      <c r="Z148" s="20">
        <f>M148*'1-Data Input'!$E$13</f>
        <v>0</v>
      </c>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row>
    <row r="149" spans="1:56" x14ac:dyDescent="0.25">
      <c r="A149" s="32">
        <v>0.41666666666666702</v>
      </c>
      <c r="B149" s="33">
        <v>0.13607549016899859</v>
      </c>
      <c r="C149" s="34">
        <v>0.11448132122263061</v>
      </c>
      <c r="D149" s="34">
        <v>0.11782043532230933</v>
      </c>
      <c r="E149" s="34">
        <v>0.12101983098579676</v>
      </c>
      <c r="F149" s="34">
        <v>0.10900820974346206</v>
      </c>
      <c r="G149" s="34">
        <v>9.8891754759666134E-2</v>
      </c>
      <c r="H149" s="34">
        <v>9.475232108090878E-2</v>
      </c>
      <c r="I149" s="34">
        <v>0.10927220373167792</v>
      </c>
      <c r="J149" s="34">
        <v>0.1252608225140629</v>
      </c>
      <c r="K149" s="34">
        <v>0.12977681111595862</v>
      </c>
      <c r="L149" s="34">
        <v>0.14108895581766046</v>
      </c>
      <c r="M149" s="35">
        <v>0.14638663489864789</v>
      </c>
      <c r="N149" s="32">
        <v>0.41666666666666702</v>
      </c>
      <c r="O149" s="20">
        <f>B149*'1-Data Input'!$E$2</f>
        <v>0</v>
      </c>
      <c r="P149" s="20">
        <f>C149*'1-Data Input'!$E$3</f>
        <v>0</v>
      </c>
      <c r="Q149" s="20">
        <f>D149*'1-Data Input'!$E$4</f>
        <v>0</v>
      </c>
      <c r="R149" s="20">
        <f>E149*'1-Data Input'!$E$5</f>
        <v>0</v>
      </c>
      <c r="S149" s="20">
        <f>F149*'1-Data Input'!$E$6</f>
        <v>0</v>
      </c>
      <c r="T149" s="20">
        <f>G149*'1-Data Input'!$E$7</f>
        <v>0</v>
      </c>
      <c r="U149" s="20">
        <f>H149*'1-Data Input'!$E$8</f>
        <v>0</v>
      </c>
      <c r="V149" s="20">
        <f>I149*'1-Data Input'!$E$9</f>
        <v>0</v>
      </c>
      <c r="W149" s="20">
        <f>J149*'1-Data Input'!$E$10</f>
        <v>0</v>
      </c>
      <c r="X149" s="20">
        <f>K149*'1-Data Input'!$E$11</f>
        <v>0</v>
      </c>
      <c r="Y149" s="20">
        <f>L149*'1-Data Input'!$E$12</f>
        <v>0</v>
      </c>
      <c r="Z149" s="20">
        <f>M149*'1-Data Input'!$E$13</f>
        <v>0</v>
      </c>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row>
    <row r="150" spans="1:56" x14ac:dyDescent="0.25">
      <c r="A150" s="32">
        <v>0.45833333333333298</v>
      </c>
      <c r="B150" s="33">
        <v>0.17953782462050005</v>
      </c>
      <c r="C150" s="34">
        <v>0.14426552617379057</v>
      </c>
      <c r="D150" s="34">
        <v>0.13509643615728295</v>
      </c>
      <c r="E150" s="34">
        <v>0.12875330098488538</v>
      </c>
      <c r="F150" s="34">
        <v>0.11020369709564692</v>
      </c>
      <c r="G150" s="34">
        <v>0.10140449197993615</v>
      </c>
      <c r="H150" s="34">
        <v>9.8769908497518114E-2</v>
      </c>
      <c r="I150" s="34">
        <v>0.11715941495421017</v>
      </c>
      <c r="J150" s="34">
        <v>0.1376083067717721</v>
      </c>
      <c r="K150" s="34">
        <v>0.14566431542797431</v>
      </c>
      <c r="L150" s="34">
        <v>0.15950866171311334</v>
      </c>
      <c r="M150" s="35">
        <v>0.18736026165900399</v>
      </c>
      <c r="N150" s="32">
        <v>0.45833333333333298</v>
      </c>
      <c r="O150" s="20">
        <f>B150*'1-Data Input'!$E$2</f>
        <v>0</v>
      </c>
      <c r="P150" s="20">
        <f>C150*'1-Data Input'!$E$3</f>
        <v>0</v>
      </c>
      <c r="Q150" s="20">
        <f>D150*'1-Data Input'!$E$4</f>
        <v>0</v>
      </c>
      <c r="R150" s="20">
        <f>E150*'1-Data Input'!$E$5</f>
        <v>0</v>
      </c>
      <c r="S150" s="20">
        <f>F150*'1-Data Input'!$E$6</f>
        <v>0</v>
      </c>
      <c r="T150" s="20">
        <f>G150*'1-Data Input'!$E$7</f>
        <v>0</v>
      </c>
      <c r="U150" s="20">
        <f>H150*'1-Data Input'!$E$8</f>
        <v>0</v>
      </c>
      <c r="V150" s="20">
        <f>I150*'1-Data Input'!$E$9</f>
        <v>0</v>
      </c>
      <c r="W150" s="20">
        <f>J150*'1-Data Input'!$E$10</f>
        <v>0</v>
      </c>
      <c r="X150" s="20">
        <f>K150*'1-Data Input'!$E$11</f>
        <v>0</v>
      </c>
      <c r="Y150" s="20">
        <f>L150*'1-Data Input'!$E$12</f>
        <v>0</v>
      </c>
      <c r="Z150" s="20">
        <f>M150*'1-Data Input'!$E$13</f>
        <v>0</v>
      </c>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row>
    <row r="151" spans="1:56" x14ac:dyDescent="0.25">
      <c r="A151" s="32">
        <v>0.5</v>
      </c>
      <c r="B151" s="33">
        <v>0.19669538313014107</v>
      </c>
      <c r="C151" s="34">
        <v>0.1689594875974903</v>
      </c>
      <c r="D151" s="34">
        <v>0.14103006179555649</v>
      </c>
      <c r="E151" s="34">
        <v>0.12535163053696546</v>
      </c>
      <c r="F151" s="34">
        <v>0.10656716437084879</v>
      </c>
      <c r="G151" s="34">
        <v>0.10395910893408621</v>
      </c>
      <c r="H151" s="34">
        <v>0.10577495251539619</v>
      </c>
      <c r="I151" s="34">
        <v>0.12184094227574849</v>
      </c>
      <c r="J151" s="34">
        <v>0.13222872102878308</v>
      </c>
      <c r="K151" s="34">
        <v>0.15447624657549863</v>
      </c>
      <c r="L151" s="34">
        <v>0.17335029240404831</v>
      </c>
      <c r="M151" s="35">
        <v>0.20627595130396104</v>
      </c>
      <c r="N151" s="32">
        <v>0.5</v>
      </c>
      <c r="O151" s="20">
        <f>B151*'1-Data Input'!$E$2</f>
        <v>0</v>
      </c>
      <c r="P151" s="20">
        <f>C151*'1-Data Input'!$E$3</f>
        <v>0</v>
      </c>
      <c r="Q151" s="20">
        <f>D151*'1-Data Input'!$E$4</f>
        <v>0</v>
      </c>
      <c r="R151" s="20">
        <f>E151*'1-Data Input'!$E$5</f>
        <v>0</v>
      </c>
      <c r="S151" s="20">
        <f>F151*'1-Data Input'!$E$6</f>
        <v>0</v>
      </c>
      <c r="T151" s="20">
        <f>G151*'1-Data Input'!$E$7</f>
        <v>0</v>
      </c>
      <c r="U151" s="20">
        <f>H151*'1-Data Input'!$E$8</f>
        <v>0</v>
      </c>
      <c r="V151" s="20">
        <f>I151*'1-Data Input'!$E$9</f>
        <v>0</v>
      </c>
      <c r="W151" s="20">
        <f>J151*'1-Data Input'!$E$10</f>
        <v>0</v>
      </c>
      <c r="X151" s="20">
        <f>K151*'1-Data Input'!$E$11</f>
        <v>0</v>
      </c>
      <c r="Y151" s="20">
        <f>L151*'1-Data Input'!$E$12</f>
        <v>0</v>
      </c>
      <c r="Z151" s="20">
        <f>M151*'1-Data Input'!$E$13</f>
        <v>0</v>
      </c>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row>
    <row r="152" spans="1:56" x14ac:dyDescent="0.25">
      <c r="A152" s="32">
        <v>0.54166666666666696</v>
      </c>
      <c r="B152" s="33">
        <v>0.18739163290258437</v>
      </c>
      <c r="C152" s="34">
        <v>0.1772556316380246</v>
      </c>
      <c r="D152" s="34">
        <v>0.14088155958454215</v>
      </c>
      <c r="E152" s="34">
        <v>0.11501561213589651</v>
      </c>
      <c r="F152" s="34">
        <v>0.10175593338864707</v>
      </c>
      <c r="G152" s="34">
        <v>0.10009476157618967</v>
      </c>
      <c r="H152" s="34">
        <v>0.1045186268729392</v>
      </c>
      <c r="I152" s="34">
        <v>0.11359382309233128</v>
      </c>
      <c r="J152" s="34">
        <v>0.11776463774457681</v>
      </c>
      <c r="K152" s="34">
        <v>0.15614901399105202</v>
      </c>
      <c r="L152" s="34">
        <v>0.18117370385145859</v>
      </c>
      <c r="M152" s="35">
        <v>0.19697226533733475</v>
      </c>
      <c r="N152" s="32">
        <v>0.54166666666666696</v>
      </c>
      <c r="O152" s="20">
        <f>B152*'1-Data Input'!$E$2</f>
        <v>0</v>
      </c>
      <c r="P152" s="20">
        <f>C152*'1-Data Input'!$E$3</f>
        <v>0</v>
      </c>
      <c r="Q152" s="20">
        <f>D152*'1-Data Input'!$E$4</f>
        <v>0</v>
      </c>
      <c r="R152" s="20">
        <f>E152*'1-Data Input'!$E$5</f>
        <v>0</v>
      </c>
      <c r="S152" s="20">
        <f>F152*'1-Data Input'!$E$6</f>
        <v>0</v>
      </c>
      <c r="T152" s="20">
        <f>G152*'1-Data Input'!$E$7</f>
        <v>0</v>
      </c>
      <c r="U152" s="20">
        <f>H152*'1-Data Input'!$E$8</f>
        <v>0</v>
      </c>
      <c r="V152" s="20">
        <f>I152*'1-Data Input'!$E$9</f>
        <v>0</v>
      </c>
      <c r="W152" s="20">
        <f>J152*'1-Data Input'!$E$10</f>
        <v>0</v>
      </c>
      <c r="X152" s="20">
        <f>K152*'1-Data Input'!$E$11</f>
        <v>0</v>
      </c>
      <c r="Y152" s="20">
        <f>L152*'1-Data Input'!$E$12</f>
        <v>0</v>
      </c>
      <c r="Z152" s="20">
        <f>M152*'1-Data Input'!$E$13</f>
        <v>0</v>
      </c>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row>
    <row r="153" spans="1:56" x14ac:dyDescent="0.25">
      <c r="A153" s="32">
        <v>0.58333333333333304</v>
      </c>
      <c r="B153" s="33">
        <v>0.13456256583973072</v>
      </c>
      <c r="C153" s="34">
        <v>0.14537029930081302</v>
      </c>
      <c r="D153" s="34">
        <v>0.1240955036135207</v>
      </c>
      <c r="E153" s="34">
        <v>0.10287904825285361</v>
      </c>
      <c r="F153" s="34">
        <v>9.3959636821395853E-2</v>
      </c>
      <c r="G153" s="34">
        <v>9.0837327893459108E-2</v>
      </c>
      <c r="H153" s="34">
        <v>9.7952003806893492E-2</v>
      </c>
      <c r="I153" s="34">
        <v>9.7968359175159461E-2</v>
      </c>
      <c r="J153" s="34">
        <v>0.10382135221020546</v>
      </c>
      <c r="K153" s="34">
        <v>0.12267402494586788</v>
      </c>
      <c r="L153" s="34">
        <v>0.134414372467274</v>
      </c>
      <c r="M153" s="35">
        <v>0.12541893453894323</v>
      </c>
      <c r="N153" s="32">
        <v>0.58333333333333304</v>
      </c>
      <c r="O153" s="20">
        <f>B153*'1-Data Input'!$E$2</f>
        <v>0</v>
      </c>
      <c r="P153" s="20">
        <f>C153*'1-Data Input'!$E$3</f>
        <v>0</v>
      </c>
      <c r="Q153" s="20">
        <f>D153*'1-Data Input'!$E$4</f>
        <v>0</v>
      </c>
      <c r="R153" s="20">
        <f>E153*'1-Data Input'!$E$5</f>
        <v>0</v>
      </c>
      <c r="S153" s="20">
        <f>F153*'1-Data Input'!$E$6</f>
        <v>0</v>
      </c>
      <c r="T153" s="20">
        <f>G153*'1-Data Input'!$E$7</f>
        <v>0</v>
      </c>
      <c r="U153" s="20">
        <f>H153*'1-Data Input'!$E$8</f>
        <v>0</v>
      </c>
      <c r="V153" s="20">
        <f>I153*'1-Data Input'!$E$9</f>
        <v>0</v>
      </c>
      <c r="W153" s="20">
        <f>J153*'1-Data Input'!$E$10</f>
        <v>0</v>
      </c>
      <c r="X153" s="20">
        <f>K153*'1-Data Input'!$E$11</f>
        <v>0</v>
      </c>
      <c r="Y153" s="20">
        <f>L153*'1-Data Input'!$E$12</f>
        <v>0</v>
      </c>
      <c r="Z153" s="20">
        <f>M153*'1-Data Input'!$E$13</f>
        <v>0</v>
      </c>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row>
    <row r="154" spans="1:56" x14ac:dyDescent="0.25">
      <c r="A154" s="32">
        <v>0.625</v>
      </c>
      <c r="B154" s="33">
        <v>6.3785524320806516E-2</v>
      </c>
      <c r="C154" s="34">
        <v>9.7878467189908808E-2</v>
      </c>
      <c r="D154" s="34">
        <v>9.3033202087298428E-2</v>
      </c>
      <c r="E154" s="34">
        <v>7.7276346607382002E-2</v>
      </c>
      <c r="F154" s="34">
        <v>7.9917336374839165E-2</v>
      </c>
      <c r="G154" s="34">
        <v>7.9203570829472519E-2</v>
      </c>
      <c r="H154" s="34">
        <v>8.472001213003813E-2</v>
      </c>
      <c r="I154" s="34">
        <v>7.9744464380924751E-2</v>
      </c>
      <c r="J154" s="34">
        <v>8.0814915754482949E-2</v>
      </c>
      <c r="K154" s="34">
        <v>7.6795056809239731E-2</v>
      </c>
      <c r="L154" s="34">
        <v>6.3993326307361667E-2</v>
      </c>
      <c r="M154" s="35">
        <v>4.7376122323603838E-2</v>
      </c>
      <c r="N154" s="32">
        <v>0.625</v>
      </c>
      <c r="O154" s="20">
        <f>B154*'1-Data Input'!$E$2</f>
        <v>0</v>
      </c>
      <c r="P154" s="20">
        <f>C154*'1-Data Input'!$E$3</f>
        <v>0</v>
      </c>
      <c r="Q154" s="20">
        <f>D154*'1-Data Input'!$E$4</f>
        <v>0</v>
      </c>
      <c r="R154" s="20">
        <f>E154*'1-Data Input'!$E$5</f>
        <v>0</v>
      </c>
      <c r="S154" s="20">
        <f>F154*'1-Data Input'!$E$6</f>
        <v>0</v>
      </c>
      <c r="T154" s="20">
        <f>G154*'1-Data Input'!$E$7</f>
        <v>0</v>
      </c>
      <c r="U154" s="20">
        <f>H154*'1-Data Input'!$E$8</f>
        <v>0</v>
      </c>
      <c r="V154" s="20">
        <f>I154*'1-Data Input'!$E$9</f>
        <v>0</v>
      </c>
      <c r="W154" s="20">
        <f>J154*'1-Data Input'!$E$10</f>
        <v>0</v>
      </c>
      <c r="X154" s="20">
        <f>K154*'1-Data Input'!$E$11</f>
        <v>0</v>
      </c>
      <c r="Y154" s="20">
        <f>L154*'1-Data Input'!$E$12</f>
        <v>0</v>
      </c>
      <c r="Z154" s="20">
        <f>M154*'1-Data Input'!$E$13</f>
        <v>0</v>
      </c>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row>
    <row r="155" spans="1:56" x14ac:dyDescent="0.25">
      <c r="A155" s="32">
        <v>0.66666666666666696</v>
      </c>
      <c r="B155" s="33">
        <v>1.4014830252371767E-2</v>
      </c>
      <c r="C155" s="34">
        <v>4.0427070100329782E-2</v>
      </c>
      <c r="D155" s="34">
        <v>5.791801841909551E-2</v>
      </c>
      <c r="E155" s="34">
        <v>5.3149413991886642E-2</v>
      </c>
      <c r="F155" s="34">
        <v>6.0094235025789769E-2</v>
      </c>
      <c r="G155" s="34">
        <v>6.5314441767788098E-2</v>
      </c>
      <c r="H155" s="34">
        <v>6.8559688177034339E-2</v>
      </c>
      <c r="I155" s="34">
        <v>5.7994669519645208E-2</v>
      </c>
      <c r="J155" s="34">
        <v>5.0303740018855556E-2</v>
      </c>
      <c r="K155" s="34">
        <v>3.2309135019936722E-2</v>
      </c>
      <c r="L155" s="34">
        <v>1.1706724908760315E-2</v>
      </c>
      <c r="M155" s="35">
        <v>0</v>
      </c>
      <c r="N155" s="32">
        <v>0.66666666666666696</v>
      </c>
      <c r="O155" s="20">
        <f>B155*'1-Data Input'!$E$2</f>
        <v>0</v>
      </c>
      <c r="P155" s="20">
        <f>C155*'1-Data Input'!$E$3</f>
        <v>0</v>
      </c>
      <c r="Q155" s="20">
        <f>D155*'1-Data Input'!$E$4</f>
        <v>0</v>
      </c>
      <c r="R155" s="20">
        <f>E155*'1-Data Input'!$E$5</f>
        <v>0</v>
      </c>
      <c r="S155" s="20">
        <f>F155*'1-Data Input'!$E$6</f>
        <v>0</v>
      </c>
      <c r="T155" s="20">
        <f>G155*'1-Data Input'!$E$7</f>
        <v>0</v>
      </c>
      <c r="U155" s="20">
        <f>H155*'1-Data Input'!$E$8</f>
        <v>0</v>
      </c>
      <c r="V155" s="20">
        <f>I155*'1-Data Input'!$E$9</f>
        <v>0</v>
      </c>
      <c r="W155" s="20">
        <f>J155*'1-Data Input'!$E$10</f>
        <v>0</v>
      </c>
      <c r="X155" s="20">
        <f>K155*'1-Data Input'!$E$11</f>
        <v>0</v>
      </c>
      <c r="Y155" s="20">
        <f>L155*'1-Data Input'!$E$12</f>
        <v>0</v>
      </c>
      <c r="Z155" s="20">
        <f>M155*'1-Data Input'!$E$13</f>
        <v>0</v>
      </c>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row>
    <row r="156" spans="1:56" x14ac:dyDescent="0.25">
      <c r="A156" s="32">
        <v>0.70833333333333304</v>
      </c>
      <c r="B156" s="33">
        <v>0</v>
      </c>
      <c r="C156" s="34">
        <v>6.4830538144337148E-3</v>
      </c>
      <c r="D156" s="34">
        <v>2.2047392106434256E-2</v>
      </c>
      <c r="E156" s="34">
        <v>2.9980324229808848E-2</v>
      </c>
      <c r="F156" s="34">
        <v>3.9360952610025507E-2</v>
      </c>
      <c r="G156" s="34">
        <v>4.7146568238833973E-2</v>
      </c>
      <c r="H156" s="34">
        <v>4.9756051405107672E-2</v>
      </c>
      <c r="I156" s="34">
        <v>3.6761468054140232E-2</v>
      </c>
      <c r="J156" s="34">
        <v>2.1911195577382851E-2</v>
      </c>
      <c r="K156" s="34">
        <v>5.5852904496628639E-3</v>
      </c>
      <c r="L156" s="34">
        <v>0</v>
      </c>
      <c r="M156" s="35">
        <v>0</v>
      </c>
      <c r="N156" s="32">
        <v>0.70833333333333304</v>
      </c>
      <c r="O156" s="20">
        <f>B156*'1-Data Input'!$E$2</f>
        <v>0</v>
      </c>
      <c r="P156" s="20">
        <f>C156*'1-Data Input'!$E$3</f>
        <v>0</v>
      </c>
      <c r="Q156" s="20">
        <f>D156*'1-Data Input'!$E$4</f>
        <v>0</v>
      </c>
      <c r="R156" s="20">
        <f>E156*'1-Data Input'!$E$5</f>
        <v>0</v>
      </c>
      <c r="S156" s="20">
        <f>F156*'1-Data Input'!$E$6</f>
        <v>0</v>
      </c>
      <c r="T156" s="20">
        <f>G156*'1-Data Input'!$E$7</f>
        <v>0</v>
      </c>
      <c r="U156" s="20">
        <f>H156*'1-Data Input'!$E$8</f>
        <v>0</v>
      </c>
      <c r="V156" s="20">
        <f>I156*'1-Data Input'!$E$9</f>
        <v>0</v>
      </c>
      <c r="W156" s="20">
        <f>J156*'1-Data Input'!$E$10</f>
        <v>0</v>
      </c>
      <c r="X156" s="20">
        <f>K156*'1-Data Input'!$E$11</f>
        <v>0</v>
      </c>
      <c r="Y156" s="20">
        <f>L156*'1-Data Input'!$E$12</f>
        <v>0</v>
      </c>
      <c r="Z156" s="20">
        <f>M156*'1-Data Input'!$E$13</f>
        <v>0</v>
      </c>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row>
    <row r="157" spans="1:56" x14ac:dyDescent="0.25">
      <c r="A157" s="32">
        <v>0.75</v>
      </c>
      <c r="B157" s="33">
        <v>0</v>
      </c>
      <c r="C157" s="34">
        <v>0</v>
      </c>
      <c r="D157" s="34">
        <v>1.5048384960758587E-3</v>
      </c>
      <c r="E157" s="34">
        <v>9.779620901291336E-3</v>
      </c>
      <c r="F157" s="34">
        <v>2.0440534913342571E-2</v>
      </c>
      <c r="G157" s="34">
        <v>2.718496921344507E-2</v>
      </c>
      <c r="H157" s="34">
        <v>2.8632868057697974E-2</v>
      </c>
      <c r="I157" s="34">
        <v>1.5097884429663075E-2</v>
      </c>
      <c r="J157" s="34">
        <v>3.7468899693996779E-3</v>
      </c>
      <c r="K157" s="34">
        <v>0</v>
      </c>
      <c r="L157" s="34">
        <v>0</v>
      </c>
      <c r="M157" s="35">
        <v>0</v>
      </c>
      <c r="N157" s="32">
        <v>0.75</v>
      </c>
      <c r="O157" s="20">
        <f>B157*'1-Data Input'!$E$2</f>
        <v>0</v>
      </c>
      <c r="P157" s="20">
        <f>C157*'1-Data Input'!$E$3</f>
        <v>0</v>
      </c>
      <c r="Q157" s="20">
        <f>D157*'1-Data Input'!$E$4</f>
        <v>0</v>
      </c>
      <c r="R157" s="20">
        <f>E157*'1-Data Input'!$E$5</f>
        <v>0</v>
      </c>
      <c r="S157" s="20">
        <f>F157*'1-Data Input'!$E$6</f>
        <v>0</v>
      </c>
      <c r="T157" s="20">
        <f>G157*'1-Data Input'!$E$7</f>
        <v>0</v>
      </c>
      <c r="U157" s="20">
        <f>H157*'1-Data Input'!$E$8</f>
        <v>0</v>
      </c>
      <c r="V157" s="20">
        <f>I157*'1-Data Input'!$E$9</f>
        <v>0</v>
      </c>
      <c r="W157" s="20">
        <f>J157*'1-Data Input'!$E$10</f>
        <v>0</v>
      </c>
      <c r="X157" s="20">
        <f>K157*'1-Data Input'!$E$11</f>
        <v>0</v>
      </c>
      <c r="Y157" s="20">
        <f>L157*'1-Data Input'!$E$12</f>
        <v>0</v>
      </c>
      <c r="Z157" s="20">
        <f>M157*'1-Data Input'!$E$13</f>
        <v>0</v>
      </c>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row>
    <row r="158" spans="1:56" x14ac:dyDescent="0.25">
      <c r="A158" s="32">
        <v>0.79166666666666696</v>
      </c>
      <c r="B158" s="33">
        <v>0</v>
      </c>
      <c r="C158" s="34">
        <v>0</v>
      </c>
      <c r="D158" s="34">
        <v>0</v>
      </c>
      <c r="E158" s="34">
        <v>3.1475855318332612E-5</v>
      </c>
      <c r="F158" s="34">
        <v>6.0719861342782427E-3</v>
      </c>
      <c r="G158" s="34">
        <v>9.6220652246396116E-3</v>
      </c>
      <c r="H158" s="34">
        <v>9.6072439204557148E-3</v>
      </c>
      <c r="I158" s="34">
        <v>2.6811249168363777E-3</v>
      </c>
      <c r="J158" s="34">
        <v>0</v>
      </c>
      <c r="K158" s="34">
        <v>0</v>
      </c>
      <c r="L158" s="34">
        <v>0</v>
      </c>
      <c r="M158" s="35">
        <v>0</v>
      </c>
      <c r="N158" s="32">
        <v>0.79166666666666696</v>
      </c>
      <c r="O158" s="20">
        <f>B158*'1-Data Input'!$E$2</f>
        <v>0</v>
      </c>
      <c r="P158" s="20">
        <f>C158*'1-Data Input'!$E$3</f>
        <v>0</v>
      </c>
      <c r="Q158" s="20">
        <f>D158*'1-Data Input'!$E$4</f>
        <v>0</v>
      </c>
      <c r="R158" s="20">
        <f>E158*'1-Data Input'!$E$5</f>
        <v>0</v>
      </c>
      <c r="S158" s="20">
        <f>F158*'1-Data Input'!$E$6</f>
        <v>0</v>
      </c>
      <c r="T158" s="20">
        <f>G158*'1-Data Input'!$E$7</f>
        <v>0</v>
      </c>
      <c r="U158" s="20">
        <f>H158*'1-Data Input'!$E$8</f>
        <v>0</v>
      </c>
      <c r="V158" s="20">
        <f>I158*'1-Data Input'!$E$9</f>
        <v>0</v>
      </c>
      <c r="W158" s="20">
        <f>J158*'1-Data Input'!$E$10</f>
        <v>0</v>
      </c>
      <c r="X158" s="20">
        <f>K158*'1-Data Input'!$E$11</f>
        <v>0</v>
      </c>
      <c r="Y158" s="20">
        <f>L158*'1-Data Input'!$E$12</f>
        <v>0</v>
      </c>
      <c r="Z158" s="20">
        <f>M158*'1-Data Input'!$E$13</f>
        <v>0</v>
      </c>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row>
    <row r="159" spans="1:56" x14ac:dyDescent="0.25">
      <c r="A159" s="32">
        <v>0.83333333333333304</v>
      </c>
      <c r="B159" s="33">
        <v>0</v>
      </c>
      <c r="C159" s="34">
        <v>0</v>
      </c>
      <c r="D159" s="34">
        <v>0</v>
      </c>
      <c r="E159" s="34">
        <v>0</v>
      </c>
      <c r="F159" s="34">
        <v>0</v>
      </c>
      <c r="G159" s="34">
        <v>3.3791731034774557E-4</v>
      </c>
      <c r="H159" s="34">
        <v>2.375305078724272E-4</v>
      </c>
      <c r="I159" s="34">
        <v>0</v>
      </c>
      <c r="J159" s="34">
        <v>0</v>
      </c>
      <c r="K159" s="34">
        <v>0</v>
      </c>
      <c r="L159" s="34">
        <v>0</v>
      </c>
      <c r="M159" s="35">
        <v>0</v>
      </c>
      <c r="N159" s="32">
        <v>0.83333333333333304</v>
      </c>
      <c r="O159" s="20">
        <f>B159*'1-Data Input'!$E$2</f>
        <v>0</v>
      </c>
      <c r="P159" s="20">
        <f>C159*'1-Data Input'!$E$3</f>
        <v>0</v>
      </c>
      <c r="Q159" s="20">
        <f>D159*'1-Data Input'!$E$4</f>
        <v>0</v>
      </c>
      <c r="R159" s="20">
        <f>E159*'1-Data Input'!$E$5</f>
        <v>0</v>
      </c>
      <c r="S159" s="20">
        <f>F159*'1-Data Input'!$E$6</f>
        <v>0</v>
      </c>
      <c r="T159" s="20">
        <f>G159*'1-Data Input'!$E$7</f>
        <v>0</v>
      </c>
      <c r="U159" s="20">
        <f>H159*'1-Data Input'!$E$8</f>
        <v>0</v>
      </c>
      <c r="V159" s="20">
        <f>I159*'1-Data Input'!$E$9</f>
        <v>0</v>
      </c>
      <c r="W159" s="20">
        <f>J159*'1-Data Input'!$E$10</f>
        <v>0</v>
      </c>
      <c r="X159" s="20">
        <f>K159*'1-Data Input'!$E$11</f>
        <v>0</v>
      </c>
      <c r="Y159" s="20">
        <f>L159*'1-Data Input'!$E$12</f>
        <v>0</v>
      </c>
      <c r="Z159" s="20">
        <f>M159*'1-Data Input'!$E$13</f>
        <v>0</v>
      </c>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row>
    <row r="160" spans="1:56" x14ac:dyDescent="0.25">
      <c r="A160" s="32">
        <v>0.875</v>
      </c>
      <c r="B160" s="33">
        <v>0</v>
      </c>
      <c r="C160" s="34">
        <v>0</v>
      </c>
      <c r="D160" s="34">
        <v>0</v>
      </c>
      <c r="E160" s="34">
        <v>0</v>
      </c>
      <c r="F160" s="34">
        <v>0</v>
      </c>
      <c r="G160" s="34">
        <v>0</v>
      </c>
      <c r="H160" s="34">
        <v>0</v>
      </c>
      <c r="I160" s="34">
        <v>0</v>
      </c>
      <c r="J160" s="34">
        <v>0</v>
      </c>
      <c r="K160" s="34">
        <v>0</v>
      </c>
      <c r="L160" s="34">
        <v>0</v>
      </c>
      <c r="M160" s="35">
        <v>0</v>
      </c>
      <c r="N160" s="32">
        <v>0.875</v>
      </c>
      <c r="O160" s="20">
        <f>B160*'1-Data Input'!$E$2</f>
        <v>0</v>
      </c>
      <c r="P160" s="20">
        <f>C160*'1-Data Input'!$E$3</f>
        <v>0</v>
      </c>
      <c r="Q160" s="20">
        <f>D160*'1-Data Input'!$E$4</f>
        <v>0</v>
      </c>
      <c r="R160" s="20">
        <f>E160*'1-Data Input'!$E$5</f>
        <v>0</v>
      </c>
      <c r="S160" s="20">
        <f>F160*'1-Data Input'!$E$6</f>
        <v>0</v>
      </c>
      <c r="T160" s="20">
        <f>G160*'1-Data Input'!$E$7</f>
        <v>0</v>
      </c>
      <c r="U160" s="20">
        <f>H160*'1-Data Input'!$E$8</f>
        <v>0</v>
      </c>
      <c r="V160" s="20">
        <f>I160*'1-Data Input'!$E$9</f>
        <v>0</v>
      </c>
      <c r="W160" s="20">
        <f>J160*'1-Data Input'!$E$10</f>
        <v>0</v>
      </c>
      <c r="X160" s="20">
        <f>K160*'1-Data Input'!$E$11</f>
        <v>0</v>
      </c>
      <c r="Y160" s="20">
        <f>L160*'1-Data Input'!$E$12</f>
        <v>0</v>
      </c>
      <c r="Z160" s="20">
        <f>M160*'1-Data Input'!$E$13</f>
        <v>0</v>
      </c>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row>
    <row r="161" spans="1:56" x14ac:dyDescent="0.25">
      <c r="A161" s="32">
        <v>0.91666666666666696</v>
      </c>
      <c r="B161" s="33">
        <v>0</v>
      </c>
      <c r="C161" s="34">
        <v>0</v>
      </c>
      <c r="D161" s="34">
        <v>0</v>
      </c>
      <c r="E161" s="34">
        <v>0</v>
      </c>
      <c r="F161" s="34">
        <v>0</v>
      </c>
      <c r="G161" s="34">
        <v>0</v>
      </c>
      <c r="H161" s="34">
        <v>0</v>
      </c>
      <c r="I161" s="34">
        <v>0</v>
      </c>
      <c r="J161" s="34">
        <v>0</v>
      </c>
      <c r="K161" s="34">
        <v>0</v>
      </c>
      <c r="L161" s="34">
        <v>0</v>
      </c>
      <c r="M161" s="35">
        <v>0</v>
      </c>
      <c r="N161" s="32">
        <v>0.91666666666666696</v>
      </c>
      <c r="O161" s="20">
        <f>B161*'1-Data Input'!$E$2</f>
        <v>0</v>
      </c>
      <c r="P161" s="20">
        <f>C161*'1-Data Input'!$E$3</f>
        <v>0</v>
      </c>
      <c r="Q161" s="20">
        <f>D161*'1-Data Input'!$E$4</f>
        <v>0</v>
      </c>
      <c r="R161" s="20">
        <f>E161*'1-Data Input'!$E$5</f>
        <v>0</v>
      </c>
      <c r="S161" s="20">
        <f>F161*'1-Data Input'!$E$6</f>
        <v>0</v>
      </c>
      <c r="T161" s="20">
        <f>G161*'1-Data Input'!$E$7</f>
        <v>0</v>
      </c>
      <c r="U161" s="20">
        <f>H161*'1-Data Input'!$E$8</f>
        <v>0</v>
      </c>
      <c r="V161" s="20">
        <f>I161*'1-Data Input'!$E$9</f>
        <v>0</v>
      </c>
      <c r="W161" s="20">
        <f>J161*'1-Data Input'!$E$10</f>
        <v>0</v>
      </c>
      <c r="X161" s="20">
        <f>K161*'1-Data Input'!$E$11</f>
        <v>0</v>
      </c>
      <c r="Y161" s="20">
        <f>L161*'1-Data Input'!$E$12</f>
        <v>0</v>
      </c>
      <c r="Z161" s="20">
        <f>M161*'1-Data Input'!$E$13</f>
        <v>0</v>
      </c>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row>
    <row r="162" spans="1:56" ht="15.75" thickBot="1" x14ac:dyDescent="0.3">
      <c r="A162" s="32">
        <v>0.95833333333333304</v>
      </c>
      <c r="B162" s="36">
        <v>0</v>
      </c>
      <c r="C162" s="37">
        <v>0</v>
      </c>
      <c r="D162" s="37">
        <v>0</v>
      </c>
      <c r="E162" s="37">
        <v>0</v>
      </c>
      <c r="F162" s="37">
        <v>0</v>
      </c>
      <c r="G162" s="37">
        <v>0</v>
      </c>
      <c r="H162" s="37">
        <v>0</v>
      </c>
      <c r="I162" s="37">
        <v>0</v>
      </c>
      <c r="J162" s="37">
        <v>0</v>
      </c>
      <c r="K162" s="37">
        <v>0</v>
      </c>
      <c r="L162" s="37">
        <v>0</v>
      </c>
      <c r="M162" s="38">
        <v>0</v>
      </c>
      <c r="N162" s="32">
        <v>0.95833333333333304</v>
      </c>
      <c r="O162" s="20">
        <f>B162*'1-Data Input'!$E$2</f>
        <v>0</v>
      </c>
      <c r="P162" s="20">
        <f>C162*'1-Data Input'!$E$3</f>
        <v>0</v>
      </c>
      <c r="Q162" s="20">
        <f>D162*'1-Data Input'!$E$4</f>
        <v>0</v>
      </c>
      <c r="R162" s="20">
        <f>E162*'1-Data Input'!$E$5</f>
        <v>0</v>
      </c>
      <c r="S162" s="20">
        <f>F162*'1-Data Input'!$E$6</f>
        <v>0</v>
      </c>
      <c r="T162" s="20">
        <f>G162*'1-Data Input'!$E$7</f>
        <v>0</v>
      </c>
      <c r="U162" s="20">
        <f>H162*'1-Data Input'!$E$8</f>
        <v>0</v>
      </c>
      <c r="V162" s="20">
        <f>I162*'1-Data Input'!$E$9</f>
        <v>0</v>
      </c>
      <c r="W162" s="20">
        <f>J162*'1-Data Input'!$E$10</f>
        <v>0</v>
      </c>
      <c r="X162" s="20">
        <f>K162*'1-Data Input'!$E$11</f>
        <v>0</v>
      </c>
      <c r="Y162" s="20">
        <f>L162*'1-Data Input'!$E$12</f>
        <v>0</v>
      </c>
      <c r="Z162" s="20">
        <f>M162*'1-Data Input'!$E$13</f>
        <v>0</v>
      </c>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row>
  </sheetData>
  <sheetProtection deleteColumns="0" deleteRows="0"/>
  <mergeCells count="24">
    <mergeCell ref="A82:F82"/>
    <mergeCell ref="G82:Z82"/>
    <mergeCell ref="A83:M83"/>
    <mergeCell ref="N83:Z83"/>
    <mergeCell ref="A137:M137"/>
    <mergeCell ref="N137:Z137"/>
    <mergeCell ref="A109:F109"/>
    <mergeCell ref="G109:Z109"/>
    <mergeCell ref="A110:M110"/>
    <mergeCell ref="N110:Z110"/>
    <mergeCell ref="A136:F136"/>
    <mergeCell ref="G136:Z136"/>
    <mergeCell ref="A29:M29"/>
    <mergeCell ref="N29:Z29"/>
    <mergeCell ref="A55:F55"/>
    <mergeCell ref="G55:Z55"/>
    <mergeCell ref="A56:M56"/>
    <mergeCell ref="N56:Z56"/>
    <mergeCell ref="A1:F1"/>
    <mergeCell ref="G1:Z1"/>
    <mergeCell ref="A2:M2"/>
    <mergeCell ref="N2:Z2"/>
    <mergeCell ref="A28:F28"/>
    <mergeCell ref="G28:Z28"/>
  </mergeCells>
  <conditionalFormatting sqref="O4:Z27">
    <cfRule type="colorScale" priority="15">
      <colorScale>
        <cfvo type="min"/>
        <cfvo type="percentile" val="50"/>
        <cfvo type="max"/>
        <color rgb="FF63BE7B"/>
        <color rgb="FFFFEB84"/>
        <color rgb="FFF8696B"/>
      </colorScale>
    </cfRule>
  </conditionalFormatting>
  <conditionalFormatting sqref="O31:Z54">
    <cfRule type="colorScale" priority="13">
      <colorScale>
        <cfvo type="min"/>
        <cfvo type="percentile" val="50"/>
        <cfvo type="max"/>
        <color rgb="FF63BE7B"/>
        <color rgb="FFFFEB84"/>
        <color rgb="FFF8696B"/>
      </colorScale>
    </cfRule>
  </conditionalFormatting>
  <conditionalFormatting sqref="B4:M27">
    <cfRule type="colorScale" priority="12">
      <colorScale>
        <cfvo type="min"/>
        <cfvo type="percentile" val="50"/>
        <cfvo type="max"/>
        <color rgb="FF63BE7B"/>
        <color rgb="FFFFEB84"/>
        <color rgb="FFF8696B"/>
      </colorScale>
    </cfRule>
  </conditionalFormatting>
  <conditionalFormatting sqref="B31:M54">
    <cfRule type="colorScale" priority="11">
      <colorScale>
        <cfvo type="min"/>
        <cfvo type="percentile" val="50"/>
        <cfvo type="max"/>
        <color rgb="FF63BE7B"/>
        <color rgb="FFFFEB84"/>
        <color rgb="FFF8696B"/>
      </colorScale>
    </cfRule>
  </conditionalFormatting>
  <conditionalFormatting sqref="O58:Z81">
    <cfRule type="colorScale" priority="10">
      <colorScale>
        <cfvo type="min"/>
        <cfvo type="percentile" val="50"/>
        <cfvo type="max"/>
        <color rgb="FF63BE7B"/>
        <color rgb="FFFFEB84"/>
        <color rgb="FFF8696B"/>
      </colorScale>
    </cfRule>
  </conditionalFormatting>
  <conditionalFormatting sqref="O85:Z108">
    <cfRule type="colorScale" priority="9">
      <colorScale>
        <cfvo type="min"/>
        <cfvo type="percentile" val="50"/>
        <cfvo type="max"/>
        <color rgb="FF63BE7B"/>
        <color rgb="FFFFEB84"/>
        <color rgb="FFF8696B"/>
      </colorScale>
    </cfRule>
  </conditionalFormatting>
  <conditionalFormatting sqref="B58:M81">
    <cfRule type="colorScale" priority="8">
      <colorScale>
        <cfvo type="min"/>
        <cfvo type="percentile" val="50"/>
        <cfvo type="max"/>
        <color rgb="FF63BE7B"/>
        <color rgb="FFFFEB84"/>
        <color rgb="FFF8696B"/>
      </colorScale>
    </cfRule>
  </conditionalFormatting>
  <conditionalFormatting sqref="B85:M108">
    <cfRule type="colorScale" priority="7">
      <colorScale>
        <cfvo type="min"/>
        <cfvo type="percentile" val="50"/>
        <cfvo type="max"/>
        <color rgb="FF63BE7B"/>
        <color rgb="FFFFEB84"/>
        <color rgb="FFF8696B"/>
      </colorScale>
    </cfRule>
  </conditionalFormatting>
  <conditionalFormatting sqref="AA139:BD139">
    <cfRule type="colorScale" priority="5">
      <colorScale>
        <cfvo type="min"/>
        <cfvo type="percentile" val="50"/>
        <cfvo type="max"/>
        <color rgb="FF63BE7B"/>
        <color rgb="FFFFEB84"/>
        <color rgb="FFF8696B"/>
      </colorScale>
    </cfRule>
  </conditionalFormatting>
  <conditionalFormatting sqref="B112:M135">
    <cfRule type="colorScale" priority="4">
      <colorScale>
        <cfvo type="min"/>
        <cfvo type="percentile" val="50"/>
        <cfvo type="max"/>
        <color rgb="FF63BE7B"/>
        <color rgb="FFFFEB84"/>
        <color rgb="FFF8696B"/>
      </colorScale>
    </cfRule>
  </conditionalFormatting>
  <conditionalFormatting sqref="B139:M162">
    <cfRule type="colorScale" priority="3">
      <colorScale>
        <cfvo type="min"/>
        <cfvo type="percentile" val="50"/>
        <cfvo type="max"/>
        <color rgb="FF63BE7B"/>
        <color rgb="FFFFEB84"/>
        <color rgb="FFF8696B"/>
      </colorScale>
    </cfRule>
  </conditionalFormatting>
  <conditionalFormatting sqref="O139:Z162">
    <cfRule type="colorScale" priority="2">
      <colorScale>
        <cfvo type="min"/>
        <cfvo type="percentile" val="50"/>
        <cfvo type="max"/>
        <color rgb="FF63BE7B"/>
        <color rgb="FFFFEB84"/>
        <color rgb="FFF8696B"/>
      </colorScale>
    </cfRule>
  </conditionalFormatting>
  <conditionalFormatting sqref="O112:Z135">
    <cfRule type="colorScale" priority="1">
      <colorScale>
        <cfvo type="min"/>
        <cfvo type="percentile" val="50"/>
        <cfvo type="max"/>
        <color rgb="FF63BE7B"/>
        <color rgb="FFFFEB84"/>
        <color rgb="FFF8696B"/>
      </colorScale>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41D5B-19B9-4731-9019-60556359788C}">
  <dimension ref="A1:Z80"/>
  <sheetViews>
    <sheetView tabSelected="1" topLeftCell="J6" zoomScaleNormal="100" workbookViewId="0">
      <selection activeCell="N11" sqref="N11"/>
    </sheetView>
  </sheetViews>
  <sheetFormatPr defaultColWidth="11.42578125" defaultRowHeight="14.25" x14ac:dyDescent="0.2"/>
  <cols>
    <col min="1" max="1" width="17.42578125" style="15" bestFit="1" customWidth="1"/>
    <col min="2" max="3" width="15.140625" style="15" bestFit="1" customWidth="1"/>
    <col min="4" max="6" width="14.42578125" style="15" bestFit="1" customWidth="1"/>
    <col min="7" max="7" width="14" style="15" bestFit="1" customWidth="1"/>
    <col min="8" max="9" width="14.42578125" style="15" bestFit="1" customWidth="1"/>
    <col min="10" max="10" width="14" style="15" bestFit="1" customWidth="1"/>
    <col min="11" max="11" width="15.140625" style="15" bestFit="1" customWidth="1"/>
    <col min="12" max="12" width="15.28515625" style="15" bestFit="1" customWidth="1"/>
    <col min="13" max="13" width="15.140625" style="15" bestFit="1" customWidth="1"/>
    <col min="14" max="14" width="17.42578125" style="15" bestFit="1" customWidth="1"/>
    <col min="15" max="15" width="26.85546875" style="15" bestFit="1" customWidth="1"/>
    <col min="16" max="16" width="39.5703125" style="15" bestFit="1" customWidth="1"/>
    <col min="17" max="26" width="10.140625" style="15" bestFit="1" customWidth="1"/>
    <col min="27" max="16384" width="11.42578125" style="15"/>
  </cols>
  <sheetData>
    <row r="1" spans="1:16" ht="33.75" x14ac:dyDescent="0.5">
      <c r="A1" s="67" t="s">
        <v>48</v>
      </c>
      <c r="B1" s="67"/>
      <c r="C1" s="67"/>
      <c r="D1" s="67"/>
      <c r="E1" s="67"/>
      <c r="F1" s="67"/>
      <c r="G1" s="67"/>
      <c r="H1" s="67"/>
      <c r="I1" s="67"/>
      <c r="J1" s="67"/>
      <c r="K1" s="67"/>
      <c r="L1" s="67"/>
      <c r="M1" s="67"/>
    </row>
    <row r="2" spans="1:16" ht="26.25" x14ac:dyDescent="0.4">
      <c r="A2" s="16" t="s">
        <v>14</v>
      </c>
      <c r="B2" s="17" t="s">
        <v>16</v>
      </c>
      <c r="C2" s="17" t="s">
        <v>17</v>
      </c>
      <c r="D2" s="17" t="s">
        <v>18</v>
      </c>
      <c r="E2" s="17" t="s">
        <v>19</v>
      </c>
      <c r="F2" s="17" t="s">
        <v>4</v>
      </c>
      <c r="G2" s="17" t="s">
        <v>20</v>
      </c>
      <c r="H2" s="17" t="s">
        <v>21</v>
      </c>
      <c r="I2" s="17" t="s">
        <v>22</v>
      </c>
      <c r="J2" s="17" t="s">
        <v>23</v>
      </c>
      <c r="K2" s="17" t="s">
        <v>24</v>
      </c>
      <c r="L2" s="17" t="s">
        <v>25</v>
      </c>
      <c r="M2" s="17" t="s">
        <v>26</v>
      </c>
      <c r="O2" s="74" t="s">
        <v>71</v>
      </c>
      <c r="P2" s="74"/>
    </row>
    <row r="3" spans="1:16" ht="23.25" x14ac:dyDescent="0.35">
      <c r="A3" s="18">
        <v>0</v>
      </c>
      <c r="B3" s="20" cm="1">
        <f t="array" aca="1" ref="B3:M26" ca="1">(OFFSET(INDIRECT("'3-Production profile'!"&amp;ADDRESS(MATCH($P$4, '3-Production profile'!$G:$G, 0), 7)), 3, 8, 24, 12))-(OFFSET(INDIRECT("'2-Consumption profiles'!"&amp;ADDRESS(MATCH($P$3, '2-Consumption profiles'!$G:$G, 0), 7)), 3, 8, 24, 12))</f>
        <v>0</v>
      </c>
      <c r="C3" s="20">
        <f ca="1"/>
        <v>0</v>
      </c>
      <c r="D3" s="20">
        <f ca="1"/>
        <v>0</v>
      </c>
      <c r="E3" s="20">
        <f ca="1"/>
        <v>0</v>
      </c>
      <c r="F3" s="20">
        <f ca="1"/>
        <v>0</v>
      </c>
      <c r="G3" s="20">
        <f ca="1"/>
        <v>0</v>
      </c>
      <c r="H3" s="20">
        <f ca="1"/>
        <v>0</v>
      </c>
      <c r="I3" s="20">
        <f ca="1"/>
        <v>0</v>
      </c>
      <c r="J3" s="20">
        <f ca="1"/>
        <v>0</v>
      </c>
      <c r="K3" s="20">
        <f ca="1"/>
        <v>0</v>
      </c>
      <c r="L3" s="20">
        <f ca="1"/>
        <v>0</v>
      </c>
      <c r="M3" s="20">
        <f ca="1"/>
        <v>0</v>
      </c>
      <c r="O3" s="44" t="s">
        <v>37</v>
      </c>
      <c r="P3" s="19" t="str">
        <f>'1-Data Input'!C15</f>
        <v>Office building with gas heating, with A/C</v>
      </c>
    </row>
    <row r="4" spans="1:16" ht="23.25" x14ac:dyDescent="0.35">
      <c r="A4" s="18">
        <v>4.1666666666666699E-2</v>
      </c>
      <c r="B4" s="20">
        <f ca="1"/>
        <v>0</v>
      </c>
      <c r="C4" s="20">
        <f ca="1"/>
        <v>0</v>
      </c>
      <c r="D4" s="20">
        <f ca="1"/>
        <v>0</v>
      </c>
      <c r="E4" s="20">
        <f ca="1"/>
        <v>0</v>
      </c>
      <c r="F4" s="20">
        <f ca="1"/>
        <v>0</v>
      </c>
      <c r="G4" s="20">
        <f ca="1"/>
        <v>0</v>
      </c>
      <c r="H4" s="20">
        <f ca="1"/>
        <v>0</v>
      </c>
      <c r="I4" s="20">
        <f ca="1"/>
        <v>0</v>
      </c>
      <c r="J4" s="20">
        <f ca="1"/>
        <v>0</v>
      </c>
      <c r="K4" s="20">
        <f ca="1"/>
        <v>0</v>
      </c>
      <c r="L4" s="20">
        <f ca="1"/>
        <v>0</v>
      </c>
      <c r="M4" s="21">
        <f ca="1"/>
        <v>0</v>
      </c>
      <c r="O4" s="44" t="s">
        <v>38</v>
      </c>
      <c r="P4" s="19" t="str">
        <f>'1-Data Input'!C16</f>
        <v>Belgium</v>
      </c>
    </row>
    <row r="5" spans="1:16" ht="23.25" x14ac:dyDescent="0.35">
      <c r="A5" s="18">
        <v>8.3333333333333301E-2</v>
      </c>
      <c r="B5" s="20">
        <f ca="1"/>
        <v>0</v>
      </c>
      <c r="C5" s="20">
        <f ca="1"/>
        <v>0</v>
      </c>
      <c r="D5" s="20">
        <f ca="1"/>
        <v>0</v>
      </c>
      <c r="E5" s="20">
        <f ca="1"/>
        <v>0</v>
      </c>
      <c r="F5" s="20">
        <f ca="1"/>
        <v>0</v>
      </c>
      <c r="G5" s="20">
        <f ca="1"/>
        <v>0</v>
      </c>
      <c r="H5" s="20">
        <f ca="1"/>
        <v>0</v>
      </c>
      <c r="I5" s="20">
        <f ca="1"/>
        <v>0</v>
      </c>
      <c r="J5" s="20">
        <f ca="1"/>
        <v>0</v>
      </c>
      <c r="K5" s="20">
        <f ca="1"/>
        <v>0</v>
      </c>
      <c r="L5" s="20">
        <f ca="1"/>
        <v>0</v>
      </c>
      <c r="M5" s="21">
        <f ca="1"/>
        <v>0</v>
      </c>
    </row>
    <row r="6" spans="1:16" ht="26.25" x14ac:dyDescent="0.4">
      <c r="A6" s="18">
        <v>0.125</v>
      </c>
      <c r="B6" s="20">
        <f ca="1"/>
        <v>0</v>
      </c>
      <c r="C6" s="20">
        <f ca="1"/>
        <v>0</v>
      </c>
      <c r="D6" s="20">
        <f ca="1"/>
        <v>0</v>
      </c>
      <c r="E6" s="20">
        <f ca="1"/>
        <v>0</v>
      </c>
      <c r="F6" s="20">
        <f ca="1"/>
        <v>0</v>
      </c>
      <c r="G6" s="20">
        <f ca="1"/>
        <v>0</v>
      </c>
      <c r="H6" s="20">
        <f ca="1"/>
        <v>0</v>
      </c>
      <c r="I6" s="20">
        <f ca="1"/>
        <v>0</v>
      </c>
      <c r="J6" s="20">
        <f ca="1"/>
        <v>0</v>
      </c>
      <c r="K6" s="20">
        <f ca="1"/>
        <v>0</v>
      </c>
      <c r="L6" s="20">
        <f ca="1"/>
        <v>0</v>
      </c>
      <c r="M6" s="21">
        <f ca="1"/>
        <v>0</v>
      </c>
      <c r="O6" s="74" t="s">
        <v>70</v>
      </c>
      <c r="P6" s="74"/>
    </row>
    <row r="7" spans="1:16" ht="23.25" x14ac:dyDescent="0.35">
      <c r="A7" s="18">
        <v>0.16666666666666699</v>
      </c>
      <c r="B7" s="20">
        <f ca="1"/>
        <v>0</v>
      </c>
      <c r="C7" s="20">
        <f ca="1"/>
        <v>0</v>
      </c>
      <c r="D7" s="20">
        <f ca="1"/>
        <v>0</v>
      </c>
      <c r="E7" s="20">
        <f ca="1"/>
        <v>0</v>
      </c>
      <c r="F7" s="20">
        <f ca="1"/>
        <v>0</v>
      </c>
      <c r="G7" s="20">
        <f ca="1"/>
        <v>0</v>
      </c>
      <c r="H7" s="20">
        <f ca="1"/>
        <v>0</v>
      </c>
      <c r="I7" s="20">
        <f ca="1"/>
        <v>0</v>
      </c>
      <c r="J7" s="20">
        <f ca="1"/>
        <v>0</v>
      </c>
      <c r="K7" s="20">
        <f ca="1"/>
        <v>0</v>
      </c>
      <c r="L7" s="20">
        <f ca="1"/>
        <v>0</v>
      </c>
      <c r="M7" s="21">
        <f ca="1"/>
        <v>0</v>
      </c>
      <c r="O7" s="45" t="s">
        <v>41</v>
      </c>
      <c r="P7" s="22">
        <f ca="1">AVERAGE(B80:M80)</f>
        <v>0</v>
      </c>
    </row>
    <row r="8" spans="1:16" ht="23.25" x14ac:dyDescent="0.35">
      <c r="A8" s="18">
        <v>0.20833333333333301</v>
      </c>
      <c r="B8" s="20">
        <f ca="1"/>
        <v>0</v>
      </c>
      <c r="C8" s="20">
        <f ca="1"/>
        <v>0</v>
      </c>
      <c r="D8" s="20">
        <f ca="1"/>
        <v>0</v>
      </c>
      <c r="E8" s="20">
        <f ca="1"/>
        <v>0</v>
      </c>
      <c r="F8" s="20">
        <f ca="1"/>
        <v>0</v>
      </c>
      <c r="G8" s="20">
        <f ca="1"/>
        <v>0</v>
      </c>
      <c r="H8" s="20">
        <f ca="1"/>
        <v>0</v>
      </c>
      <c r="I8" s="20">
        <f ca="1"/>
        <v>0</v>
      </c>
      <c r="J8" s="20">
        <f ca="1"/>
        <v>0</v>
      </c>
      <c r="K8" s="20">
        <f ca="1"/>
        <v>0</v>
      </c>
      <c r="L8" s="20">
        <f ca="1"/>
        <v>0</v>
      </c>
      <c r="M8" s="21">
        <f ca="1"/>
        <v>0</v>
      </c>
      <c r="O8" s="45" t="s">
        <v>43</v>
      </c>
      <c r="P8" s="22">
        <f ca="1">MIN(B80:M80)</f>
        <v>0</v>
      </c>
    </row>
    <row r="9" spans="1:16" ht="23.25" x14ac:dyDescent="0.35">
      <c r="A9" s="18">
        <v>0.25</v>
      </c>
      <c r="B9" s="20">
        <f ca="1"/>
        <v>0</v>
      </c>
      <c r="C9" s="20">
        <f ca="1"/>
        <v>0</v>
      </c>
      <c r="D9" s="20">
        <f ca="1"/>
        <v>0</v>
      </c>
      <c r="E9" s="20">
        <f ca="1"/>
        <v>0</v>
      </c>
      <c r="F9" s="20">
        <f ca="1"/>
        <v>0</v>
      </c>
      <c r="G9" s="20">
        <f ca="1"/>
        <v>0</v>
      </c>
      <c r="H9" s="20">
        <f ca="1"/>
        <v>0</v>
      </c>
      <c r="I9" s="20">
        <f ca="1"/>
        <v>0</v>
      </c>
      <c r="J9" s="20">
        <f ca="1"/>
        <v>0</v>
      </c>
      <c r="K9" s="20">
        <f ca="1"/>
        <v>0</v>
      </c>
      <c r="L9" s="20">
        <f ca="1"/>
        <v>0</v>
      </c>
      <c r="M9" s="21">
        <f ca="1"/>
        <v>0</v>
      </c>
      <c r="O9" s="45" t="s">
        <v>42</v>
      </c>
      <c r="P9" s="22">
        <f ca="1">MAX(B80:M80)</f>
        <v>0</v>
      </c>
    </row>
    <row r="10" spans="1:16" ht="23.25" x14ac:dyDescent="0.35">
      <c r="A10" s="18">
        <v>0.29166666666666702</v>
      </c>
      <c r="B10" s="20">
        <f ca="1"/>
        <v>0</v>
      </c>
      <c r="C10" s="20">
        <f ca="1"/>
        <v>0</v>
      </c>
      <c r="D10" s="20">
        <f ca="1"/>
        <v>0</v>
      </c>
      <c r="E10" s="20">
        <f ca="1"/>
        <v>0</v>
      </c>
      <c r="F10" s="20">
        <f ca="1"/>
        <v>0</v>
      </c>
      <c r="G10" s="20">
        <f ca="1"/>
        <v>0</v>
      </c>
      <c r="H10" s="20">
        <f ca="1"/>
        <v>0</v>
      </c>
      <c r="I10" s="20">
        <f ca="1"/>
        <v>0</v>
      </c>
      <c r="J10" s="20">
        <f ca="1"/>
        <v>0</v>
      </c>
      <c r="K10" s="20">
        <f ca="1"/>
        <v>0</v>
      </c>
      <c r="L10" s="20">
        <f ca="1"/>
        <v>0</v>
      </c>
      <c r="M10" s="21">
        <f ca="1"/>
        <v>0</v>
      </c>
      <c r="O10" s="46" t="s">
        <v>44</v>
      </c>
      <c r="P10" s="23">
        <f ca="1">AVERAGE(B53:M53)</f>
        <v>0</v>
      </c>
    </row>
    <row r="11" spans="1:16" ht="23.25" x14ac:dyDescent="0.35">
      <c r="A11" s="18">
        <v>0.33333333333333298</v>
      </c>
      <c r="B11" s="20">
        <f ca="1"/>
        <v>0</v>
      </c>
      <c r="C11" s="20">
        <f ca="1"/>
        <v>0</v>
      </c>
      <c r="D11" s="20">
        <f ca="1"/>
        <v>0</v>
      </c>
      <c r="E11" s="20">
        <f ca="1"/>
        <v>0</v>
      </c>
      <c r="F11" s="20">
        <f ca="1"/>
        <v>0</v>
      </c>
      <c r="G11" s="20">
        <f ca="1"/>
        <v>0</v>
      </c>
      <c r="H11" s="20">
        <f ca="1"/>
        <v>0</v>
      </c>
      <c r="I11" s="20">
        <f ca="1"/>
        <v>0</v>
      </c>
      <c r="J11" s="20">
        <f ca="1"/>
        <v>0</v>
      </c>
      <c r="K11" s="20">
        <f ca="1"/>
        <v>0</v>
      </c>
      <c r="L11" s="20">
        <f ca="1"/>
        <v>0</v>
      </c>
      <c r="M11" s="21">
        <f ca="1"/>
        <v>0</v>
      </c>
      <c r="O11" s="46" t="s">
        <v>45</v>
      </c>
      <c r="P11" s="24">
        <f ca="1">MIN(B53:M53)</f>
        <v>0</v>
      </c>
    </row>
    <row r="12" spans="1:16" ht="23.25" x14ac:dyDescent="0.35">
      <c r="A12" s="18">
        <v>0.375</v>
      </c>
      <c r="B12" s="20">
        <f ca="1"/>
        <v>0</v>
      </c>
      <c r="C12" s="20">
        <f ca="1"/>
        <v>0</v>
      </c>
      <c r="D12" s="20">
        <f ca="1"/>
        <v>0</v>
      </c>
      <c r="E12" s="20">
        <f ca="1"/>
        <v>0</v>
      </c>
      <c r="F12" s="20">
        <f ca="1"/>
        <v>0</v>
      </c>
      <c r="G12" s="20">
        <f ca="1"/>
        <v>0</v>
      </c>
      <c r="H12" s="20">
        <f ca="1"/>
        <v>0</v>
      </c>
      <c r="I12" s="20">
        <f ca="1"/>
        <v>0</v>
      </c>
      <c r="J12" s="20">
        <f ca="1"/>
        <v>0</v>
      </c>
      <c r="K12" s="20">
        <f ca="1"/>
        <v>0</v>
      </c>
      <c r="L12" s="20">
        <f ca="1"/>
        <v>0</v>
      </c>
      <c r="M12" s="21">
        <f ca="1"/>
        <v>0</v>
      </c>
      <c r="O12" s="46" t="s">
        <v>46</v>
      </c>
      <c r="P12" s="23">
        <f ca="1">MAX(B53:M53)</f>
        <v>0</v>
      </c>
    </row>
    <row r="13" spans="1:16" ht="23.25" x14ac:dyDescent="0.35">
      <c r="A13" s="18">
        <v>0.41666666666666702</v>
      </c>
      <c r="B13" s="20">
        <f ca="1"/>
        <v>0</v>
      </c>
      <c r="C13" s="20">
        <f ca="1"/>
        <v>0</v>
      </c>
      <c r="D13" s="20">
        <f ca="1"/>
        <v>0</v>
      </c>
      <c r="E13" s="20">
        <f ca="1"/>
        <v>0</v>
      </c>
      <c r="F13" s="20">
        <f ca="1"/>
        <v>0</v>
      </c>
      <c r="G13" s="20">
        <f ca="1"/>
        <v>0</v>
      </c>
      <c r="H13" s="20">
        <f ca="1"/>
        <v>0</v>
      </c>
      <c r="I13" s="20">
        <f ca="1"/>
        <v>0</v>
      </c>
      <c r="J13" s="20">
        <f ca="1"/>
        <v>0</v>
      </c>
      <c r="K13" s="20">
        <f ca="1"/>
        <v>0</v>
      </c>
      <c r="L13" s="20">
        <f ca="1"/>
        <v>0</v>
      </c>
      <c r="M13" s="21">
        <f ca="1"/>
        <v>0</v>
      </c>
      <c r="O13" s="47" t="s">
        <v>59</v>
      </c>
      <c r="P13" s="50">
        <f t="shared" ref="P13:P15" ca="1" si="0">MIN(P7, P10)</f>
        <v>0</v>
      </c>
    </row>
    <row r="14" spans="1:16" ht="23.25" x14ac:dyDescent="0.35">
      <c r="A14" s="18">
        <v>0.45833333333333298</v>
      </c>
      <c r="B14" s="20">
        <f ca="1"/>
        <v>0</v>
      </c>
      <c r="C14" s="20">
        <f ca="1"/>
        <v>0</v>
      </c>
      <c r="D14" s="20">
        <f ca="1"/>
        <v>0</v>
      </c>
      <c r="E14" s="20">
        <f ca="1"/>
        <v>0</v>
      </c>
      <c r="F14" s="20">
        <f ca="1"/>
        <v>0</v>
      </c>
      <c r="G14" s="20">
        <f ca="1"/>
        <v>0</v>
      </c>
      <c r="H14" s="20">
        <f ca="1"/>
        <v>0</v>
      </c>
      <c r="I14" s="20">
        <f ca="1"/>
        <v>0</v>
      </c>
      <c r="J14" s="20">
        <f ca="1"/>
        <v>0</v>
      </c>
      <c r="K14" s="20">
        <f ca="1"/>
        <v>0</v>
      </c>
      <c r="L14" s="20">
        <f ca="1"/>
        <v>0</v>
      </c>
      <c r="M14" s="21">
        <f ca="1"/>
        <v>0</v>
      </c>
      <c r="O14" s="47" t="s">
        <v>60</v>
      </c>
      <c r="P14" s="50">
        <f t="shared" ca="1" si="0"/>
        <v>0</v>
      </c>
    </row>
    <row r="15" spans="1:16" ht="23.25" x14ac:dyDescent="0.35">
      <c r="A15" s="18">
        <v>0.5</v>
      </c>
      <c r="B15" s="20">
        <f ca="1"/>
        <v>0</v>
      </c>
      <c r="C15" s="20">
        <f ca="1"/>
        <v>0</v>
      </c>
      <c r="D15" s="20">
        <f ca="1"/>
        <v>0</v>
      </c>
      <c r="E15" s="20">
        <f ca="1"/>
        <v>0</v>
      </c>
      <c r="F15" s="20">
        <f ca="1"/>
        <v>0</v>
      </c>
      <c r="G15" s="20">
        <f ca="1"/>
        <v>0</v>
      </c>
      <c r="H15" s="20">
        <f ca="1"/>
        <v>0</v>
      </c>
      <c r="I15" s="20">
        <f ca="1"/>
        <v>0</v>
      </c>
      <c r="J15" s="20">
        <f ca="1"/>
        <v>0</v>
      </c>
      <c r="K15" s="20">
        <f ca="1"/>
        <v>0</v>
      </c>
      <c r="L15" s="20">
        <f ca="1"/>
        <v>0</v>
      </c>
      <c r="M15" s="21">
        <f ca="1"/>
        <v>0</v>
      </c>
      <c r="O15" s="47" t="s">
        <v>61</v>
      </c>
      <c r="P15" s="50">
        <f t="shared" ca="1" si="0"/>
        <v>0</v>
      </c>
    </row>
    <row r="16" spans="1:16" ht="24" thickBot="1" x14ac:dyDescent="0.4">
      <c r="A16" s="18">
        <v>0.54166666666666696</v>
      </c>
      <c r="B16" s="20">
        <f ca="1"/>
        <v>0</v>
      </c>
      <c r="C16" s="20">
        <f ca="1"/>
        <v>0</v>
      </c>
      <c r="D16" s="20">
        <f ca="1"/>
        <v>0</v>
      </c>
      <c r="E16" s="20">
        <f ca="1"/>
        <v>0</v>
      </c>
      <c r="F16" s="20">
        <f ca="1"/>
        <v>0</v>
      </c>
      <c r="G16" s="20">
        <f ca="1"/>
        <v>0</v>
      </c>
      <c r="H16" s="20">
        <f ca="1"/>
        <v>0</v>
      </c>
      <c r="I16" s="20">
        <f ca="1"/>
        <v>0</v>
      </c>
      <c r="J16" s="20">
        <f ca="1"/>
        <v>0</v>
      </c>
      <c r="K16" s="20">
        <f ca="1"/>
        <v>0</v>
      </c>
      <c r="L16" s="20">
        <f ca="1"/>
        <v>0</v>
      </c>
      <c r="M16" s="21">
        <f ca="1"/>
        <v>0</v>
      </c>
    </row>
    <row r="17" spans="1:26" ht="23.25" x14ac:dyDescent="0.35">
      <c r="A17" s="18">
        <v>0.58333333333333304</v>
      </c>
      <c r="B17" s="20">
        <f ca="1"/>
        <v>0</v>
      </c>
      <c r="C17" s="20">
        <f ca="1"/>
        <v>0</v>
      </c>
      <c r="D17" s="20">
        <f ca="1"/>
        <v>0</v>
      </c>
      <c r="E17" s="20">
        <f ca="1"/>
        <v>0</v>
      </c>
      <c r="F17" s="20">
        <f ca="1"/>
        <v>0</v>
      </c>
      <c r="G17" s="20">
        <f ca="1"/>
        <v>0</v>
      </c>
      <c r="H17" s="20">
        <f ca="1"/>
        <v>0</v>
      </c>
      <c r="I17" s="20">
        <f ca="1"/>
        <v>0</v>
      </c>
      <c r="J17" s="20">
        <f ca="1"/>
        <v>0</v>
      </c>
      <c r="K17" s="20">
        <f ca="1"/>
        <v>0</v>
      </c>
      <c r="L17" s="20">
        <f ca="1"/>
        <v>0</v>
      </c>
      <c r="M17" s="21">
        <f ca="1"/>
        <v>0</v>
      </c>
      <c r="O17" s="56" t="s">
        <v>73</v>
      </c>
      <c r="P17" s="54">
        <v>250</v>
      </c>
    </row>
    <row r="18" spans="1:26" ht="24" thickBot="1" x14ac:dyDescent="0.4">
      <c r="A18" s="18">
        <v>0.625</v>
      </c>
      <c r="B18" s="20">
        <f ca="1"/>
        <v>0</v>
      </c>
      <c r="C18" s="20">
        <f ca="1"/>
        <v>0</v>
      </c>
      <c r="D18" s="20">
        <f ca="1"/>
        <v>0</v>
      </c>
      <c r="E18" s="20">
        <f ca="1"/>
        <v>0</v>
      </c>
      <c r="F18" s="20">
        <f ca="1"/>
        <v>0</v>
      </c>
      <c r="G18" s="20">
        <f ca="1"/>
        <v>0</v>
      </c>
      <c r="H18" s="20">
        <f ca="1"/>
        <v>0</v>
      </c>
      <c r="I18" s="20">
        <f ca="1"/>
        <v>0</v>
      </c>
      <c r="J18" s="20">
        <f ca="1"/>
        <v>0</v>
      </c>
      <c r="K18" s="20">
        <f ca="1"/>
        <v>0</v>
      </c>
      <c r="L18" s="20">
        <f ca="1"/>
        <v>0</v>
      </c>
      <c r="M18" s="21">
        <f ca="1"/>
        <v>0</v>
      </c>
      <c r="O18" s="57" t="s">
        <v>74</v>
      </c>
      <c r="P18" s="55">
        <v>50</v>
      </c>
    </row>
    <row r="19" spans="1:26" ht="24" thickBot="1" x14ac:dyDescent="0.4">
      <c r="A19" s="18">
        <v>0.66666666666666696</v>
      </c>
      <c r="B19" s="20">
        <f ca="1"/>
        <v>0</v>
      </c>
      <c r="C19" s="20">
        <f ca="1"/>
        <v>0</v>
      </c>
      <c r="D19" s="20">
        <f ca="1"/>
        <v>0</v>
      </c>
      <c r="E19" s="20">
        <f ca="1"/>
        <v>0</v>
      </c>
      <c r="F19" s="20">
        <f ca="1"/>
        <v>0</v>
      </c>
      <c r="G19" s="20">
        <f ca="1"/>
        <v>0</v>
      </c>
      <c r="H19" s="20">
        <f ca="1"/>
        <v>0</v>
      </c>
      <c r="I19" s="20">
        <f ca="1"/>
        <v>0</v>
      </c>
      <c r="J19" s="20">
        <f ca="1"/>
        <v>0</v>
      </c>
      <c r="K19" s="20">
        <f ca="1"/>
        <v>0</v>
      </c>
      <c r="L19" s="20">
        <f ca="1"/>
        <v>0</v>
      </c>
      <c r="M19" s="21">
        <f ca="1"/>
        <v>0</v>
      </c>
    </row>
    <row r="20" spans="1:26" ht="24" thickBot="1" x14ac:dyDescent="0.4">
      <c r="A20" s="18">
        <v>0.70833333333333304</v>
      </c>
      <c r="B20" s="20">
        <f ca="1"/>
        <v>0</v>
      </c>
      <c r="C20" s="20">
        <f ca="1"/>
        <v>0</v>
      </c>
      <c r="D20" s="20">
        <f ca="1"/>
        <v>0</v>
      </c>
      <c r="E20" s="20">
        <f ca="1"/>
        <v>0</v>
      </c>
      <c r="F20" s="20">
        <f ca="1"/>
        <v>0</v>
      </c>
      <c r="G20" s="20">
        <f ca="1"/>
        <v>0</v>
      </c>
      <c r="H20" s="20">
        <f ca="1"/>
        <v>0</v>
      </c>
      <c r="I20" s="20">
        <f ca="1"/>
        <v>0</v>
      </c>
      <c r="J20" s="20">
        <f ca="1"/>
        <v>0</v>
      </c>
      <c r="K20" s="20">
        <f ca="1"/>
        <v>0</v>
      </c>
      <c r="L20" s="20">
        <f ca="1"/>
        <v>0</v>
      </c>
      <c r="M20" s="21">
        <f ca="1"/>
        <v>0</v>
      </c>
      <c r="O20" s="58" t="s">
        <v>72</v>
      </c>
      <c r="P20" s="59">
        <f ca="1">365*P13*(P17-P18)/1000</f>
        <v>0</v>
      </c>
    </row>
    <row r="21" spans="1:26" ht="23.25" x14ac:dyDescent="0.35">
      <c r="A21" s="18">
        <v>0.75</v>
      </c>
      <c r="B21" s="20">
        <f ca="1"/>
        <v>0</v>
      </c>
      <c r="C21" s="20">
        <f ca="1"/>
        <v>0</v>
      </c>
      <c r="D21" s="20">
        <f ca="1"/>
        <v>0</v>
      </c>
      <c r="E21" s="20">
        <f ca="1"/>
        <v>0</v>
      </c>
      <c r="F21" s="20">
        <f ca="1"/>
        <v>0</v>
      </c>
      <c r="G21" s="20">
        <f ca="1"/>
        <v>0</v>
      </c>
      <c r="H21" s="20">
        <f ca="1"/>
        <v>0</v>
      </c>
      <c r="I21" s="20">
        <f ca="1"/>
        <v>0</v>
      </c>
      <c r="J21" s="20">
        <f ca="1"/>
        <v>0</v>
      </c>
      <c r="K21" s="20">
        <f ca="1"/>
        <v>0</v>
      </c>
      <c r="L21" s="20">
        <f ca="1"/>
        <v>0</v>
      </c>
      <c r="M21" s="21">
        <f ca="1"/>
        <v>0</v>
      </c>
    </row>
    <row r="22" spans="1:26" ht="23.25" x14ac:dyDescent="0.35">
      <c r="A22" s="18">
        <v>0.79166666666666696</v>
      </c>
      <c r="B22" s="20">
        <f ca="1"/>
        <v>0</v>
      </c>
      <c r="C22" s="20">
        <f ca="1"/>
        <v>0</v>
      </c>
      <c r="D22" s="20">
        <f ca="1"/>
        <v>0</v>
      </c>
      <c r="E22" s="20">
        <f ca="1"/>
        <v>0</v>
      </c>
      <c r="F22" s="20">
        <f ca="1"/>
        <v>0</v>
      </c>
      <c r="G22" s="20">
        <f ca="1"/>
        <v>0</v>
      </c>
      <c r="H22" s="20">
        <f ca="1"/>
        <v>0</v>
      </c>
      <c r="I22" s="20">
        <f ca="1"/>
        <v>0</v>
      </c>
      <c r="J22" s="20">
        <f ca="1"/>
        <v>0</v>
      </c>
      <c r="K22" s="20">
        <f ca="1"/>
        <v>0</v>
      </c>
      <c r="L22" s="20">
        <f ca="1"/>
        <v>0</v>
      </c>
      <c r="M22" s="21">
        <f ca="1"/>
        <v>0</v>
      </c>
    </row>
    <row r="23" spans="1:26" ht="23.25" x14ac:dyDescent="0.35">
      <c r="A23" s="18">
        <v>0.83333333333333304</v>
      </c>
      <c r="B23" s="20">
        <f ca="1"/>
        <v>0</v>
      </c>
      <c r="C23" s="20">
        <f ca="1"/>
        <v>0</v>
      </c>
      <c r="D23" s="20">
        <f ca="1"/>
        <v>0</v>
      </c>
      <c r="E23" s="20">
        <f ca="1"/>
        <v>0</v>
      </c>
      <c r="F23" s="20">
        <f ca="1"/>
        <v>0</v>
      </c>
      <c r="G23" s="20">
        <f ca="1"/>
        <v>0</v>
      </c>
      <c r="H23" s="20">
        <f ca="1"/>
        <v>0</v>
      </c>
      <c r="I23" s="20">
        <f ca="1"/>
        <v>0</v>
      </c>
      <c r="J23" s="20">
        <f ca="1"/>
        <v>0</v>
      </c>
      <c r="K23" s="20">
        <f ca="1"/>
        <v>0</v>
      </c>
      <c r="L23" s="20">
        <f ca="1"/>
        <v>0</v>
      </c>
      <c r="M23" s="21">
        <f ca="1"/>
        <v>0</v>
      </c>
    </row>
    <row r="24" spans="1:26" ht="23.25" x14ac:dyDescent="0.35">
      <c r="A24" s="18">
        <v>0.875</v>
      </c>
      <c r="B24" s="20">
        <f ca="1"/>
        <v>0</v>
      </c>
      <c r="C24" s="20">
        <f ca="1"/>
        <v>0</v>
      </c>
      <c r="D24" s="20">
        <f ca="1"/>
        <v>0</v>
      </c>
      <c r="E24" s="20">
        <f ca="1"/>
        <v>0</v>
      </c>
      <c r="F24" s="20">
        <f ca="1"/>
        <v>0</v>
      </c>
      <c r="G24" s="20">
        <f ca="1"/>
        <v>0</v>
      </c>
      <c r="H24" s="20">
        <f ca="1"/>
        <v>0</v>
      </c>
      <c r="I24" s="20">
        <f ca="1"/>
        <v>0</v>
      </c>
      <c r="J24" s="20">
        <f ca="1"/>
        <v>0</v>
      </c>
      <c r="K24" s="20">
        <f ca="1"/>
        <v>0</v>
      </c>
      <c r="L24" s="20">
        <f ca="1"/>
        <v>0</v>
      </c>
      <c r="M24" s="21">
        <f ca="1"/>
        <v>0</v>
      </c>
    </row>
    <row r="25" spans="1:26" ht="23.25" x14ac:dyDescent="0.35">
      <c r="A25" s="18">
        <v>0.91666666666666696</v>
      </c>
      <c r="B25" s="20">
        <f ca="1"/>
        <v>0</v>
      </c>
      <c r="C25" s="20">
        <f ca="1"/>
        <v>0</v>
      </c>
      <c r="D25" s="20">
        <f ca="1"/>
        <v>0</v>
      </c>
      <c r="E25" s="20">
        <f ca="1"/>
        <v>0</v>
      </c>
      <c r="F25" s="20">
        <f ca="1"/>
        <v>0</v>
      </c>
      <c r="G25" s="20">
        <f ca="1"/>
        <v>0</v>
      </c>
      <c r="H25" s="20">
        <f ca="1"/>
        <v>0</v>
      </c>
      <c r="I25" s="20">
        <f ca="1"/>
        <v>0</v>
      </c>
      <c r="J25" s="20">
        <f ca="1"/>
        <v>0</v>
      </c>
      <c r="K25" s="20">
        <f ca="1"/>
        <v>0</v>
      </c>
      <c r="L25" s="20">
        <f ca="1"/>
        <v>0</v>
      </c>
      <c r="M25" s="21">
        <f ca="1"/>
        <v>0</v>
      </c>
    </row>
    <row r="26" spans="1:26" ht="23.25" x14ac:dyDescent="0.35">
      <c r="A26" s="25">
        <v>0.95833333333333304</v>
      </c>
      <c r="B26" s="26">
        <f ca="1"/>
        <v>0</v>
      </c>
      <c r="C26" s="26">
        <f ca="1"/>
        <v>0</v>
      </c>
      <c r="D26" s="26">
        <f ca="1"/>
        <v>0</v>
      </c>
      <c r="E26" s="26">
        <f ca="1"/>
        <v>0</v>
      </c>
      <c r="F26" s="26">
        <f ca="1"/>
        <v>0</v>
      </c>
      <c r="G26" s="26">
        <f ca="1"/>
        <v>0</v>
      </c>
      <c r="H26" s="26">
        <f ca="1"/>
        <v>0</v>
      </c>
      <c r="I26" s="26">
        <f ca="1"/>
        <v>0</v>
      </c>
      <c r="J26" s="26">
        <f ca="1"/>
        <v>0</v>
      </c>
      <c r="K26" s="26">
        <f ca="1"/>
        <v>0</v>
      </c>
      <c r="L26" s="26">
        <f ca="1"/>
        <v>0</v>
      </c>
      <c r="M26" s="27">
        <f ca="1"/>
        <v>0</v>
      </c>
    </row>
    <row r="27" spans="1:26" ht="33.75" x14ac:dyDescent="0.5">
      <c r="A27" s="67" t="s">
        <v>65</v>
      </c>
      <c r="B27" s="67"/>
      <c r="C27" s="67"/>
      <c r="D27" s="67"/>
      <c r="E27" s="67"/>
      <c r="F27" s="67"/>
      <c r="G27" s="67"/>
      <c r="H27" s="67"/>
      <c r="I27" s="67"/>
      <c r="J27" s="67"/>
      <c r="K27" s="67"/>
      <c r="L27" s="67"/>
      <c r="M27" s="67"/>
      <c r="N27"/>
      <c r="O27"/>
      <c r="P27"/>
      <c r="Q27"/>
      <c r="R27"/>
      <c r="S27"/>
      <c r="T27"/>
      <c r="U27"/>
      <c r="V27"/>
      <c r="W27"/>
      <c r="X27"/>
      <c r="Y27"/>
      <c r="Z27"/>
    </row>
    <row r="28" spans="1:26" ht="23.25" x14ac:dyDescent="0.35">
      <c r="A28" s="16" t="s">
        <v>14</v>
      </c>
      <c r="B28" s="17" t="s">
        <v>16</v>
      </c>
      <c r="C28" s="17" t="s">
        <v>17</v>
      </c>
      <c r="D28" s="17" t="s">
        <v>18</v>
      </c>
      <c r="E28" s="17" t="s">
        <v>19</v>
      </c>
      <c r="F28" s="17" t="s">
        <v>4</v>
      </c>
      <c r="G28" s="17" t="s">
        <v>20</v>
      </c>
      <c r="H28" s="17" t="s">
        <v>21</v>
      </c>
      <c r="I28" s="17" t="s">
        <v>22</v>
      </c>
      <c r="J28" s="17" t="s">
        <v>23</v>
      </c>
      <c r="K28" s="17" t="s">
        <v>24</v>
      </c>
      <c r="L28" s="17" t="s">
        <v>25</v>
      </c>
      <c r="M28" s="17" t="s">
        <v>26</v>
      </c>
      <c r="N28"/>
      <c r="O28"/>
      <c r="P28"/>
      <c r="Q28"/>
      <c r="R28"/>
      <c r="S28"/>
      <c r="T28"/>
      <c r="U28"/>
      <c r="V28"/>
      <c r="W28"/>
      <c r="X28"/>
      <c r="Y28"/>
      <c r="Z28"/>
    </row>
    <row r="29" spans="1:26" ht="23.25" x14ac:dyDescent="0.35">
      <c r="A29" s="18">
        <v>0</v>
      </c>
      <c r="B29" s="20">
        <f ca="1">MAX(B3, 0)</f>
        <v>0</v>
      </c>
      <c r="C29" s="20">
        <f t="shared" ref="C29:M29" ca="1" si="1">MAX(C3, 0)</f>
        <v>0</v>
      </c>
      <c r="D29" s="20">
        <f t="shared" ca="1" si="1"/>
        <v>0</v>
      </c>
      <c r="E29" s="20">
        <f t="shared" ca="1" si="1"/>
        <v>0</v>
      </c>
      <c r="F29" s="20">
        <f t="shared" ca="1" si="1"/>
        <v>0</v>
      </c>
      <c r="G29" s="20">
        <f t="shared" ca="1" si="1"/>
        <v>0</v>
      </c>
      <c r="H29" s="20">
        <f t="shared" ca="1" si="1"/>
        <v>0</v>
      </c>
      <c r="I29" s="20">
        <f t="shared" ca="1" si="1"/>
        <v>0</v>
      </c>
      <c r="J29" s="20">
        <f t="shared" ca="1" si="1"/>
        <v>0</v>
      </c>
      <c r="K29" s="20">
        <f t="shared" ca="1" si="1"/>
        <v>0</v>
      </c>
      <c r="L29" s="20">
        <f t="shared" ca="1" si="1"/>
        <v>0</v>
      </c>
      <c r="M29" s="21">
        <f t="shared" ca="1" si="1"/>
        <v>0</v>
      </c>
      <c r="N29"/>
      <c r="O29"/>
      <c r="P29"/>
      <c r="Q29"/>
      <c r="R29"/>
      <c r="S29"/>
      <c r="T29"/>
      <c r="U29"/>
      <c r="V29"/>
      <c r="W29"/>
      <c r="X29"/>
      <c r="Y29"/>
      <c r="Z29"/>
    </row>
    <row r="30" spans="1:26" ht="23.25" x14ac:dyDescent="0.35">
      <c r="A30" s="18">
        <v>4.1666666666666699E-2</v>
      </c>
      <c r="B30" s="20">
        <f t="shared" ref="B30:M30" ca="1" si="2">MAX(B4, 0)</f>
        <v>0</v>
      </c>
      <c r="C30" s="20">
        <f t="shared" ca="1" si="2"/>
        <v>0</v>
      </c>
      <c r="D30" s="20">
        <f t="shared" ca="1" si="2"/>
        <v>0</v>
      </c>
      <c r="E30" s="20">
        <f t="shared" ca="1" si="2"/>
        <v>0</v>
      </c>
      <c r="F30" s="20">
        <f t="shared" ca="1" si="2"/>
        <v>0</v>
      </c>
      <c r="G30" s="20">
        <f t="shared" ca="1" si="2"/>
        <v>0</v>
      </c>
      <c r="H30" s="20">
        <f t="shared" ca="1" si="2"/>
        <v>0</v>
      </c>
      <c r="I30" s="20">
        <f t="shared" ca="1" si="2"/>
        <v>0</v>
      </c>
      <c r="J30" s="20">
        <f t="shared" ca="1" si="2"/>
        <v>0</v>
      </c>
      <c r="K30" s="20">
        <f t="shared" ca="1" si="2"/>
        <v>0</v>
      </c>
      <c r="L30" s="20">
        <f t="shared" ca="1" si="2"/>
        <v>0</v>
      </c>
      <c r="M30" s="21">
        <f t="shared" ca="1" si="2"/>
        <v>0</v>
      </c>
      <c r="N30"/>
      <c r="O30"/>
      <c r="P30"/>
      <c r="Q30"/>
      <c r="R30"/>
      <c r="S30"/>
      <c r="T30"/>
      <c r="U30"/>
      <c r="V30"/>
      <c r="W30"/>
      <c r="X30"/>
      <c r="Y30"/>
      <c r="Z30"/>
    </row>
    <row r="31" spans="1:26" ht="23.25" x14ac:dyDescent="0.35">
      <c r="A31" s="18">
        <v>8.3333333333333301E-2</v>
      </c>
      <c r="B31" s="20">
        <f t="shared" ref="B31:M31" ca="1" si="3">MAX(B5, 0)</f>
        <v>0</v>
      </c>
      <c r="C31" s="20">
        <f t="shared" ca="1" si="3"/>
        <v>0</v>
      </c>
      <c r="D31" s="20">
        <f t="shared" ca="1" si="3"/>
        <v>0</v>
      </c>
      <c r="E31" s="20">
        <f t="shared" ca="1" si="3"/>
        <v>0</v>
      </c>
      <c r="F31" s="20">
        <f t="shared" ca="1" si="3"/>
        <v>0</v>
      </c>
      <c r="G31" s="20">
        <f t="shared" ca="1" si="3"/>
        <v>0</v>
      </c>
      <c r="H31" s="20">
        <f t="shared" ca="1" si="3"/>
        <v>0</v>
      </c>
      <c r="I31" s="20">
        <f t="shared" ca="1" si="3"/>
        <v>0</v>
      </c>
      <c r="J31" s="20">
        <f t="shared" ca="1" si="3"/>
        <v>0</v>
      </c>
      <c r="K31" s="20">
        <f t="shared" ca="1" si="3"/>
        <v>0</v>
      </c>
      <c r="L31" s="20">
        <f t="shared" ca="1" si="3"/>
        <v>0</v>
      </c>
      <c r="M31" s="21">
        <f t="shared" ca="1" si="3"/>
        <v>0</v>
      </c>
      <c r="N31"/>
      <c r="O31"/>
      <c r="P31"/>
      <c r="Q31"/>
      <c r="R31"/>
      <c r="S31"/>
      <c r="T31"/>
      <c r="U31"/>
      <c r="V31"/>
      <c r="W31"/>
      <c r="X31"/>
      <c r="Y31"/>
      <c r="Z31"/>
    </row>
    <row r="32" spans="1:26" ht="23.25" x14ac:dyDescent="0.35">
      <c r="A32" s="18">
        <v>0.125</v>
      </c>
      <c r="B32" s="20">
        <f t="shared" ref="B32:M32" ca="1" si="4">MAX(B6, 0)</f>
        <v>0</v>
      </c>
      <c r="C32" s="20">
        <f t="shared" ca="1" si="4"/>
        <v>0</v>
      </c>
      <c r="D32" s="20">
        <f t="shared" ca="1" si="4"/>
        <v>0</v>
      </c>
      <c r="E32" s="20">
        <f t="shared" ca="1" si="4"/>
        <v>0</v>
      </c>
      <c r="F32" s="20">
        <f t="shared" ca="1" si="4"/>
        <v>0</v>
      </c>
      <c r="G32" s="20">
        <f t="shared" ca="1" si="4"/>
        <v>0</v>
      </c>
      <c r="H32" s="20">
        <f t="shared" ca="1" si="4"/>
        <v>0</v>
      </c>
      <c r="I32" s="20">
        <f t="shared" ca="1" si="4"/>
        <v>0</v>
      </c>
      <c r="J32" s="20">
        <f t="shared" ca="1" si="4"/>
        <v>0</v>
      </c>
      <c r="K32" s="20">
        <f t="shared" ca="1" si="4"/>
        <v>0</v>
      </c>
      <c r="L32" s="20">
        <f t="shared" ca="1" si="4"/>
        <v>0</v>
      </c>
      <c r="M32" s="21">
        <f t="shared" ca="1" si="4"/>
        <v>0</v>
      </c>
      <c r="N32"/>
      <c r="O32"/>
      <c r="P32"/>
      <c r="Q32"/>
      <c r="R32"/>
      <c r="S32"/>
      <c r="T32"/>
      <c r="U32"/>
      <c r="V32"/>
      <c r="W32"/>
      <c r="X32"/>
      <c r="Y32"/>
      <c r="Z32"/>
    </row>
    <row r="33" spans="1:26" ht="23.25" x14ac:dyDescent="0.35">
      <c r="A33" s="18">
        <v>0.16666666666666699</v>
      </c>
      <c r="B33" s="20">
        <f t="shared" ref="B33:M33" ca="1" si="5">MAX(B7, 0)</f>
        <v>0</v>
      </c>
      <c r="C33" s="20">
        <f t="shared" ca="1" si="5"/>
        <v>0</v>
      </c>
      <c r="D33" s="20">
        <f t="shared" ca="1" si="5"/>
        <v>0</v>
      </c>
      <c r="E33" s="20">
        <f t="shared" ca="1" si="5"/>
        <v>0</v>
      </c>
      <c r="F33" s="20">
        <f t="shared" ca="1" si="5"/>
        <v>0</v>
      </c>
      <c r="G33" s="20">
        <f t="shared" ca="1" si="5"/>
        <v>0</v>
      </c>
      <c r="H33" s="20">
        <f t="shared" ca="1" si="5"/>
        <v>0</v>
      </c>
      <c r="I33" s="20">
        <f t="shared" ca="1" si="5"/>
        <v>0</v>
      </c>
      <c r="J33" s="20">
        <f t="shared" ca="1" si="5"/>
        <v>0</v>
      </c>
      <c r="K33" s="20">
        <f t="shared" ca="1" si="5"/>
        <v>0</v>
      </c>
      <c r="L33" s="20">
        <f t="shared" ca="1" si="5"/>
        <v>0</v>
      </c>
      <c r="M33" s="21">
        <f t="shared" ca="1" si="5"/>
        <v>0</v>
      </c>
      <c r="N33"/>
      <c r="O33"/>
      <c r="P33"/>
      <c r="Q33"/>
      <c r="R33"/>
      <c r="S33"/>
      <c r="T33"/>
      <c r="U33"/>
      <c r="V33"/>
      <c r="W33"/>
      <c r="X33"/>
      <c r="Y33"/>
      <c r="Z33"/>
    </row>
    <row r="34" spans="1:26" ht="23.25" x14ac:dyDescent="0.35">
      <c r="A34" s="18">
        <v>0.20833333333333301</v>
      </c>
      <c r="B34" s="20">
        <f t="shared" ref="B34:M34" ca="1" si="6">MAX(B8, 0)</f>
        <v>0</v>
      </c>
      <c r="C34" s="20">
        <f t="shared" ca="1" si="6"/>
        <v>0</v>
      </c>
      <c r="D34" s="20">
        <f t="shared" ca="1" si="6"/>
        <v>0</v>
      </c>
      <c r="E34" s="20">
        <f t="shared" ca="1" si="6"/>
        <v>0</v>
      </c>
      <c r="F34" s="20">
        <f t="shared" ca="1" si="6"/>
        <v>0</v>
      </c>
      <c r="G34" s="20">
        <f t="shared" ca="1" si="6"/>
        <v>0</v>
      </c>
      <c r="H34" s="20">
        <f t="shared" ca="1" si="6"/>
        <v>0</v>
      </c>
      <c r="I34" s="20">
        <f t="shared" ca="1" si="6"/>
        <v>0</v>
      </c>
      <c r="J34" s="20">
        <f t="shared" ca="1" si="6"/>
        <v>0</v>
      </c>
      <c r="K34" s="20">
        <f t="shared" ca="1" si="6"/>
        <v>0</v>
      </c>
      <c r="L34" s="20">
        <f t="shared" ca="1" si="6"/>
        <v>0</v>
      </c>
      <c r="M34" s="21">
        <f t="shared" ca="1" si="6"/>
        <v>0</v>
      </c>
      <c r="N34"/>
      <c r="O34"/>
      <c r="P34"/>
      <c r="Q34"/>
      <c r="R34"/>
      <c r="S34"/>
      <c r="T34"/>
      <c r="U34"/>
      <c r="V34"/>
      <c r="W34"/>
      <c r="X34"/>
      <c r="Y34"/>
      <c r="Z34"/>
    </row>
    <row r="35" spans="1:26" ht="23.25" x14ac:dyDescent="0.35">
      <c r="A35" s="18">
        <v>0.25</v>
      </c>
      <c r="B35" s="20">
        <f t="shared" ref="B35:M35" ca="1" si="7">MAX(B9, 0)</f>
        <v>0</v>
      </c>
      <c r="C35" s="20">
        <f t="shared" ca="1" si="7"/>
        <v>0</v>
      </c>
      <c r="D35" s="20">
        <f t="shared" ca="1" si="7"/>
        <v>0</v>
      </c>
      <c r="E35" s="20">
        <f t="shared" ca="1" si="7"/>
        <v>0</v>
      </c>
      <c r="F35" s="20">
        <f t="shared" ca="1" si="7"/>
        <v>0</v>
      </c>
      <c r="G35" s="20">
        <f t="shared" ca="1" si="7"/>
        <v>0</v>
      </c>
      <c r="H35" s="20">
        <f t="shared" ca="1" si="7"/>
        <v>0</v>
      </c>
      <c r="I35" s="20">
        <f t="shared" ca="1" si="7"/>
        <v>0</v>
      </c>
      <c r="J35" s="20">
        <f t="shared" ca="1" si="7"/>
        <v>0</v>
      </c>
      <c r="K35" s="20">
        <f t="shared" ca="1" si="7"/>
        <v>0</v>
      </c>
      <c r="L35" s="20">
        <f t="shared" ca="1" si="7"/>
        <v>0</v>
      </c>
      <c r="M35" s="21">
        <f t="shared" ca="1" si="7"/>
        <v>0</v>
      </c>
      <c r="N35"/>
      <c r="O35"/>
      <c r="P35"/>
      <c r="Q35"/>
      <c r="R35"/>
      <c r="S35"/>
      <c r="T35"/>
      <c r="U35"/>
      <c r="V35"/>
      <c r="W35"/>
      <c r="X35"/>
      <c r="Y35"/>
      <c r="Z35"/>
    </row>
    <row r="36" spans="1:26" ht="23.25" x14ac:dyDescent="0.35">
      <c r="A36" s="18">
        <v>0.29166666666666702</v>
      </c>
      <c r="B36" s="20">
        <f t="shared" ref="B36:M36" ca="1" si="8">MAX(B10, 0)</f>
        <v>0</v>
      </c>
      <c r="C36" s="20">
        <f t="shared" ca="1" si="8"/>
        <v>0</v>
      </c>
      <c r="D36" s="20">
        <f t="shared" ca="1" si="8"/>
        <v>0</v>
      </c>
      <c r="E36" s="20">
        <f t="shared" ca="1" si="8"/>
        <v>0</v>
      </c>
      <c r="F36" s="20">
        <f t="shared" ca="1" si="8"/>
        <v>0</v>
      </c>
      <c r="G36" s="20">
        <f t="shared" ca="1" si="8"/>
        <v>0</v>
      </c>
      <c r="H36" s="20">
        <f t="shared" ca="1" si="8"/>
        <v>0</v>
      </c>
      <c r="I36" s="20">
        <f t="shared" ca="1" si="8"/>
        <v>0</v>
      </c>
      <c r="J36" s="20">
        <f t="shared" ca="1" si="8"/>
        <v>0</v>
      </c>
      <c r="K36" s="20">
        <f t="shared" ca="1" si="8"/>
        <v>0</v>
      </c>
      <c r="L36" s="20">
        <f t="shared" ca="1" si="8"/>
        <v>0</v>
      </c>
      <c r="M36" s="21">
        <f t="shared" ca="1" si="8"/>
        <v>0</v>
      </c>
      <c r="N36"/>
      <c r="O36"/>
      <c r="P36"/>
      <c r="Q36"/>
      <c r="R36"/>
      <c r="S36"/>
      <c r="T36"/>
      <c r="U36"/>
      <c r="V36"/>
      <c r="W36"/>
      <c r="X36"/>
      <c r="Y36"/>
      <c r="Z36"/>
    </row>
    <row r="37" spans="1:26" ht="23.25" x14ac:dyDescent="0.35">
      <c r="A37" s="18">
        <v>0.33333333333333298</v>
      </c>
      <c r="B37" s="20">
        <f t="shared" ref="B37:M37" ca="1" si="9">MAX(B11, 0)</f>
        <v>0</v>
      </c>
      <c r="C37" s="20">
        <f t="shared" ca="1" si="9"/>
        <v>0</v>
      </c>
      <c r="D37" s="20">
        <f t="shared" ca="1" si="9"/>
        <v>0</v>
      </c>
      <c r="E37" s="20">
        <f t="shared" ca="1" si="9"/>
        <v>0</v>
      </c>
      <c r="F37" s="20">
        <f t="shared" ca="1" si="9"/>
        <v>0</v>
      </c>
      <c r="G37" s="20">
        <f t="shared" ca="1" si="9"/>
        <v>0</v>
      </c>
      <c r="H37" s="20">
        <f t="shared" ca="1" si="9"/>
        <v>0</v>
      </c>
      <c r="I37" s="20">
        <f t="shared" ca="1" si="9"/>
        <v>0</v>
      </c>
      <c r="J37" s="20">
        <f t="shared" ca="1" si="9"/>
        <v>0</v>
      </c>
      <c r="K37" s="20">
        <f t="shared" ca="1" si="9"/>
        <v>0</v>
      </c>
      <c r="L37" s="20">
        <f t="shared" ca="1" si="9"/>
        <v>0</v>
      </c>
      <c r="M37" s="21">
        <f t="shared" ca="1" si="9"/>
        <v>0</v>
      </c>
      <c r="N37"/>
      <c r="O37"/>
      <c r="P37"/>
      <c r="Q37"/>
      <c r="R37"/>
      <c r="S37"/>
      <c r="T37"/>
      <c r="U37"/>
      <c r="V37"/>
      <c r="W37"/>
      <c r="X37"/>
      <c r="Y37"/>
      <c r="Z37"/>
    </row>
    <row r="38" spans="1:26" ht="23.25" x14ac:dyDescent="0.35">
      <c r="A38" s="18">
        <v>0.375</v>
      </c>
      <c r="B38" s="20">
        <f t="shared" ref="B38:M38" ca="1" si="10">MAX(B12, 0)</f>
        <v>0</v>
      </c>
      <c r="C38" s="20">
        <f t="shared" ca="1" si="10"/>
        <v>0</v>
      </c>
      <c r="D38" s="20">
        <f t="shared" ca="1" si="10"/>
        <v>0</v>
      </c>
      <c r="E38" s="20">
        <f t="shared" ca="1" si="10"/>
        <v>0</v>
      </c>
      <c r="F38" s="20">
        <f t="shared" ca="1" si="10"/>
        <v>0</v>
      </c>
      <c r="G38" s="20">
        <f t="shared" ca="1" si="10"/>
        <v>0</v>
      </c>
      <c r="H38" s="20">
        <f t="shared" ca="1" si="10"/>
        <v>0</v>
      </c>
      <c r="I38" s="20">
        <f t="shared" ca="1" si="10"/>
        <v>0</v>
      </c>
      <c r="J38" s="20">
        <f t="shared" ca="1" si="10"/>
        <v>0</v>
      </c>
      <c r="K38" s="20">
        <f t="shared" ca="1" si="10"/>
        <v>0</v>
      </c>
      <c r="L38" s="20">
        <f t="shared" ca="1" si="10"/>
        <v>0</v>
      </c>
      <c r="M38" s="21">
        <f t="shared" ca="1" si="10"/>
        <v>0</v>
      </c>
      <c r="N38"/>
      <c r="O38"/>
      <c r="P38"/>
      <c r="Q38"/>
      <c r="R38"/>
      <c r="S38"/>
      <c r="T38"/>
      <c r="U38"/>
      <c r="V38"/>
      <c r="W38"/>
      <c r="X38"/>
      <c r="Y38"/>
      <c r="Z38"/>
    </row>
    <row r="39" spans="1:26" ht="23.25" x14ac:dyDescent="0.35">
      <c r="A39" s="18">
        <v>0.41666666666666702</v>
      </c>
      <c r="B39" s="20">
        <f t="shared" ref="B39:M39" ca="1" si="11">MAX(B13, 0)</f>
        <v>0</v>
      </c>
      <c r="C39" s="20">
        <f t="shared" ca="1" si="11"/>
        <v>0</v>
      </c>
      <c r="D39" s="20">
        <f t="shared" ca="1" si="11"/>
        <v>0</v>
      </c>
      <c r="E39" s="20">
        <f t="shared" ca="1" si="11"/>
        <v>0</v>
      </c>
      <c r="F39" s="20">
        <f t="shared" ca="1" si="11"/>
        <v>0</v>
      </c>
      <c r="G39" s="20">
        <f t="shared" ca="1" si="11"/>
        <v>0</v>
      </c>
      <c r="H39" s="20">
        <f t="shared" ca="1" si="11"/>
        <v>0</v>
      </c>
      <c r="I39" s="20">
        <f t="shared" ca="1" si="11"/>
        <v>0</v>
      </c>
      <c r="J39" s="20">
        <f t="shared" ca="1" si="11"/>
        <v>0</v>
      </c>
      <c r="K39" s="20">
        <f t="shared" ca="1" si="11"/>
        <v>0</v>
      </c>
      <c r="L39" s="20">
        <f t="shared" ca="1" si="11"/>
        <v>0</v>
      </c>
      <c r="M39" s="21">
        <f t="shared" ca="1" si="11"/>
        <v>0</v>
      </c>
      <c r="N39"/>
      <c r="O39"/>
      <c r="P39"/>
      <c r="Q39"/>
      <c r="R39"/>
      <c r="S39"/>
      <c r="T39"/>
      <c r="U39"/>
      <c r="V39"/>
      <c r="W39"/>
      <c r="X39"/>
      <c r="Y39"/>
      <c r="Z39"/>
    </row>
    <row r="40" spans="1:26" ht="23.25" x14ac:dyDescent="0.35">
      <c r="A40" s="18">
        <v>0.45833333333333298</v>
      </c>
      <c r="B40" s="20">
        <f t="shared" ref="B40:M40" ca="1" si="12">MAX(B14, 0)</f>
        <v>0</v>
      </c>
      <c r="C40" s="20">
        <f t="shared" ca="1" si="12"/>
        <v>0</v>
      </c>
      <c r="D40" s="20">
        <f t="shared" ca="1" si="12"/>
        <v>0</v>
      </c>
      <c r="E40" s="20">
        <f t="shared" ca="1" si="12"/>
        <v>0</v>
      </c>
      <c r="F40" s="20">
        <f t="shared" ca="1" si="12"/>
        <v>0</v>
      </c>
      <c r="G40" s="20">
        <f t="shared" ca="1" si="12"/>
        <v>0</v>
      </c>
      <c r="H40" s="20">
        <f t="shared" ca="1" si="12"/>
        <v>0</v>
      </c>
      <c r="I40" s="20">
        <f t="shared" ca="1" si="12"/>
        <v>0</v>
      </c>
      <c r="J40" s="20">
        <f t="shared" ca="1" si="12"/>
        <v>0</v>
      </c>
      <c r="K40" s="20">
        <f t="shared" ca="1" si="12"/>
        <v>0</v>
      </c>
      <c r="L40" s="20">
        <f t="shared" ca="1" si="12"/>
        <v>0</v>
      </c>
      <c r="M40" s="21">
        <f t="shared" ca="1" si="12"/>
        <v>0</v>
      </c>
      <c r="N40"/>
      <c r="O40"/>
      <c r="P40"/>
      <c r="Q40"/>
      <c r="R40"/>
      <c r="S40"/>
      <c r="T40"/>
      <c r="U40"/>
      <c r="V40"/>
      <c r="W40"/>
      <c r="X40"/>
      <c r="Y40"/>
      <c r="Z40"/>
    </row>
    <row r="41" spans="1:26" ht="23.25" x14ac:dyDescent="0.35">
      <c r="A41" s="18">
        <v>0.5</v>
      </c>
      <c r="B41" s="20">
        <f t="shared" ref="B41:M41" ca="1" si="13">MAX(B15, 0)</f>
        <v>0</v>
      </c>
      <c r="C41" s="20">
        <f t="shared" ca="1" si="13"/>
        <v>0</v>
      </c>
      <c r="D41" s="20">
        <f t="shared" ca="1" si="13"/>
        <v>0</v>
      </c>
      <c r="E41" s="20">
        <f t="shared" ca="1" si="13"/>
        <v>0</v>
      </c>
      <c r="F41" s="20">
        <f t="shared" ca="1" si="13"/>
        <v>0</v>
      </c>
      <c r="G41" s="20">
        <f t="shared" ca="1" si="13"/>
        <v>0</v>
      </c>
      <c r="H41" s="20">
        <f t="shared" ca="1" si="13"/>
        <v>0</v>
      </c>
      <c r="I41" s="20">
        <f t="shared" ca="1" si="13"/>
        <v>0</v>
      </c>
      <c r="J41" s="20">
        <f t="shared" ca="1" si="13"/>
        <v>0</v>
      </c>
      <c r="K41" s="20">
        <f t="shared" ca="1" si="13"/>
        <v>0</v>
      </c>
      <c r="L41" s="20">
        <f t="shared" ca="1" si="13"/>
        <v>0</v>
      </c>
      <c r="M41" s="21">
        <f t="shared" ca="1" si="13"/>
        <v>0</v>
      </c>
      <c r="N41"/>
      <c r="O41"/>
      <c r="P41"/>
      <c r="Q41"/>
      <c r="R41"/>
      <c r="S41"/>
      <c r="T41"/>
      <c r="U41"/>
      <c r="V41"/>
      <c r="W41"/>
      <c r="X41"/>
      <c r="Y41"/>
      <c r="Z41"/>
    </row>
    <row r="42" spans="1:26" ht="23.25" x14ac:dyDescent="0.35">
      <c r="A42" s="18">
        <v>0.54166666666666696</v>
      </c>
      <c r="B42" s="20">
        <f t="shared" ref="B42:M42" ca="1" si="14">MAX(B16, 0)</f>
        <v>0</v>
      </c>
      <c r="C42" s="20">
        <f t="shared" ca="1" si="14"/>
        <v>0</v>
      </c>
      <c r="D42" s="20">
        <f t="shared" ca="1" si="14"/>
        <v>0</v>
      </c>
      <c r="E42" s="20">
        <f t="shared" ca="1" si="14"/>
        <v>0</v>
      </c>
      <c r="F42" s="20">
        <f t="shared" ca="1" si="14"/>
        <v>0</v>
      </c>
      <c r="G42" s="20">
        <f t="shared" ca="1" si="14"/>
        <v>0</v>
      </c>
      <c r="H42" s="20">
        <f t="shared" ca="1" si="14"/>
        <v>0</v>
      </c>
      <c r="I42" s="20">
        <f t="shared" ca="1" si="14"/>
        <v>0</v>
      </c>
      <c r="J42" s="20">
        <f t="shared" ca="1" si="14"/>
        <v>0</v>
      </c>
      <c r="K42" s="20">
        <f t="shared" ca="1" si="14"/>
        <v>0</v>
      </c>
      <c r="L42" s="20">
        <f t="shared" ca="1" si="14"/>
        <v>0</v>
      </c>
      <c r="M42" s="21">
        <f t="shared" ca="1" si="14"/>
        <v>0</v>
      </c>
      <c r="N42"/>
      <c r="O42"/>
      <c r="P42"/>
      <c r="Q42"/>
      <c r="R42"/>
      <c r="S42"/>
      <c r="T42"/>
      <c r="U42"/>
      <c r="V42"/>
      <c r="W42"/>
      <c r="X42"/>
      <c r="Y42"/>
      <c r="Z42"/>
    </row>
    <row r="43" spans="1:26" ht="23.25" x14ac:dyDescent="0.35">
      <c r="A43" s="18">
        <v>0.58333333333333304</v>
      </c>
      <c r="B43" s="20">
        <f t="shared" ref="B43:M43" ca="1" si="15">MAX(B17, 0)</f>
        <v>0</v>
      </c>
      <c r="C43" s="20">
        <f t="shared" ca="1" si="15"/>
        <v>0</v>
      </c>
      <c r="D43" s="20">
        <f t="shared" ca="1" si="15"/>
        <v>0</v>
      </c>
      <c r="E43" s="20">
        <f t="shared" ca="1" si="15"/>
        <v>0</v>
      </c>
      <c r="F43" s="20">
        <f t="shared" ca="1" si="15"/>
        <v>0</v>
      </c>
      <c r="G43" s="20">
        <f t="shared" ca="1" si="15"/>
        <v>0</v>
      </c>
      <c r="H43" s="20">
        <f t="shared" ca="1" si="15"/>
        <v>0</v>
      </c>
      <c r="I43" s="20">
        <f t="shared" ca="1" si="15"/>
        <v>0</v>
      </c>
      <c r="J43" s="20">
        <f t="shared" ca="1" si="15"/>
        <v>0</v>
      </c>
      <c r="K43" s="20">
        <f t="shared" ca="1" si="15"/>
        <v>0</v>
      </c>
      <c r="L43" s="20">
        <f t="shared" ca="1" si="15"/>
        <v>0</v>
      </c>
      <c r="M43" s="21">
        <f t="shared" ca="1" si="15"/>
        <v>0</v>
      </c>
      <c r="N43"/>
      <c r="O43"/>
      <c r="P43"/>
      <c r="Q43"/>
      <c r="R43"/>
      <c r="S43"/>
      <c r="T43"/>
      <c r="U43"/>
      <c r="V43"/>
      <c r="W43"/>
      <c r="X43"/>
      <c r="Y43"/>
      <c r="Z43"/>
    </row>
    <row r="44" spans="1:26" ht="23.25" x14ac:dyDescent="0.35">
      <c r="A44" s="18">
        <v>0.625</v>
      </c>
      <c r="B44" s="20">
        <f t="shared" ref="B44:M44" ca="1" si="16">MAX(B18, 0)</f>
        <v>0</v>
      </c>
      <c r="C44" s="20">
        <f t="shared" ca="1" si="16"/>
        <v>0</v>
      </c>
      <c r="D44" s="20">
        <f t="shared" ca="1" si="16"/>
        <v>0</v>
      </c>
      <c r="E44" s="20">
        <f t="shared" ca="1" si="16"/>
        <v>0</v>
      </c>
      <c r="F44" s="20">
        <f t="shared" ca="1" si="16"/>
        <v>0</v>
      </c>
      <c r="G44" s="20">
        <f t="shared" ca="1" si="16"/>
        <v>0</v>
      </c>
      <c r="H44" s="20">
        <f t="shared" ca="1" si="16"/>
        <v>0</v>
      </c>
      <c r="I44" s="20">
        <f t="shared" ca="1" si="16"/>
        <v>0</v>
      </c>
      <c r="J44" s="20">
        <f t="shared" ca="1" si="16"/>
        <v>0</v>
      </c>
      <c r="K44" s="20">
        <f t="shared" ca="1" si="16"/>
        <v>0</v>
      </c>
      <c r="L44" s="20">
        <f t="shared" ca="1" si="16"/>
        <v>0</v>
      </c>
      <c r="M44" s="21">
        <f t="shared" ca="1" si="16"/>
        <v>0</v>
      </c>
      <c r="N44"/>
      <c r="O44"/>
      <c r="P44"/>
      <c r="Q44"/>
      <c r="R44"/>
      <c r="S44"/>
      <c r="T44"/>
      <c r="U44"/>
      <c r="V44"/>
      <c r="W44"/>
      <c r="X44"/>
      <c r="Y44"/>
      <c r="Z44"/>
    </row>
    <row r="45" spans="1:26" ht="23.25" x14ac:dyDescent="0.35">
      <c r="A45" s="18">
        <v>0.66666666666666696</v>
      </c>
      <c r="B45" s="20">
        <f t="shared" ref="B45:M45" ca="1" si="17">MAX(B19, 0)</f>
        <v>0</v>
      </c>
      <c r="C45" s="20">
        <f t="shared" ca="1" si="17"/>
        <v>0</v>
      </c>
      <c r="D45" s="20">
        <f t="shared" ca="1" si="17"/>
        <v>0</v>
      </c>
      <c r="E45" s="20">
        <f t="shared" ca="1" si="17"/>
        <v>0</v>
      </c>
      <c r="F45" s="20">
        <f t="shared" ca="1" si="17"/>
        <v>0</v>
      </c>
      <c r="G45" s="20">
        <f t="shared" ca="1" si="17"/>
        <v>0</v>
      </c>
      <c r="H45" s="20">
        <f t="shared" ca="1" si="17"/>
        <v>0</v>
      </c>
      <c r="I45" s="20">
        <f t="shared" ca="1" si="17"/>
        <v>0</v>
      </c>
      <c r="J45" s="20">
        <f t="shared" ca="1" si="17"/>
        <v>0</v>
      </c>
      <c r="K45" s="20">
        <f t="shared" ca="1" si="17"/>
        <v>0</v>
      </c>
      <c r="L45" s="20">
        <f t="shared" ca="1" si="17"/>
        <v>0</v>
      </c>
      <c r="M45" s="21">
        <f t="shared" ca="1" si="17"/>
        <v>0</v>
      </c>
      <c r="N45"/>
      <c r="O45"/>
      <c r="P45"/>
      <c r="Q45"/>
      <c r="R45"/>
      <c r="S45"/>
      <c r="T45"/>
      <c r="U45"/>
      <c r="V45"/>
      <c r="W45"/>
      <c r="X45"/>
      <c r="Y45"/>
      <c r="Z45"/>
    </row>
    <row r="46" spans="1:26" ht="23.25" x14ac:dyDescent="0.35">
      <c r="A46" s="18">
        <v>0.70833333333333304</v>
      </c>
      <c r="B46" s="20">
        <f t="shared" ref="B46:M46" ca="1" si="18">MAX(B20, 0)</f>
        <v>0</v>
      </c>
      <c r="C46" s="20">
        <f t="shared" ca="1" si="18"/>
        <v>0</v>
      </c>
      <c r="D46" s="20">
        <f t="shared" ca="1" si="18"/>
        <v>0</v>
      </c>
      <c r="E46" s="20">
        <f t="shared" ca="1" si="18"/>
        <v>0</v>
      </c>
      <c r="F46" s="20">
        <f t="shared" ca="1" si="18"/>
        <v>0</v>
      </c>
      <c r="G46" s="20">
        <f t="shared" ca="1" si="18"/>
        <v>0</v>
      </c>
      <c r="H46" s="20">
        <f t="shared" ca="1" si="18"/>
        <v>0</v>
      </c>
      <c r="I46" s="20">
        <f t="shared" ca="1" si="18"/>
        <v>0</v>
      </c>
      <c r="J46" s="20">
        <f t="shared" ca="1" si="18"/>
        <v>0</v>
      </c>
      <c r="K46" s="20">
        <f t="shared" ca="1" si="18"/>
        <v>0</v>
      </c>
      <c r="L46" s="20">
        <f t="shared" ca="1" si="18"/>
        <v>0</v>
      </c>
      <c r="M46" s="21">
        <f t="shared" ca="1" si="18"/>
        <v>0</v>
      </c>
      <c r="N46"/>
      <c r="O46"/>
      <c r="P46"/>
      <c r="Q46"/>
      <c r="R46"/>
      <c r="S46"/>
      <c r="T46"/>
      <c r="U46"/>
      <c r="V46"/>
      <c r="W46"/>
      <c r="X46"/>
      <c r="Y46"/>
      <c r="Z46"/>
    </row>
    <row r="47" spans="1:26" ht="23.25" x14ac:dyDescent="0.35">
      <c r="A47" s="18">
        <v>0.75</v>
      </c>
      <c r="B47" s="20">
        <f t="shared" ref="B47:M47" ca="1" si="19">MAX(B21, 0)</f>
        <v>0</v>
      </c>
      <c r="C47" s="20">
        <f t="shared" ca="1" si="19"/>
        <v>0</v>
      </c>
      <c r="D47" s="20">
        <f t="shared" ca="1" si="19"/>
        <v>0</v>
      </c>
      <c r="E47" s="20">
        <f t="shared" ca="1" si="19"/>
        <v>0</v>
      </c>
      <c r="F47" s="20">
        <f t="shared" ca="1" si="19"/>
        <v>0</v>
      </c>
      <c r="G47" s="20">
        <f t="shared" ca="1" si="19"/>
        <v>0</v>
      </c>
      <c r="H47" s="20">
        <f t="shared" ca="1" si="19"/>
        <v>0</v>
      </c>
      <c r="I47" s="20">
        <f t="shared" ca="1" si="19"/>
        <v>0</v>
      </c>
      <c r="J47" s="20">
        <f t="shared" ca="1" si="19"/>
        <v>0</v>
      </c>
      <c r="K47" s="20">
        <f t="shared" ca="1" si="19"/>
        <v>0</v>
      </c>
      <c r="L47" s="20">
        <f t="shared" ca="1" si="19"/>
        <v>0</v>
      </c>
      <c r="M47" s="21">
        <f t="shared" ca="1" si="19"/>
        <v>0</v>
      </c>
      <c r="N47"/>
      <c r="O47"/>
      <c r="P47"/>
      <c r="Q47"/>
      <c r="R47"/>
      <c r="S47"/>
      <c r="T47"/>
      <c r="U47"/>
      <c r="V47"/>
      <c r="W47"/>
      <c r="X47"/>
      <c r="Y47"/>
      <c r="Z47"/>
    </row>
    <row r="48" spans="1:26" ht="23.25" x14ac:dyDescent="0.35">
      <c r="A48" s="18">
        <v>0.79166666666666696</v>
      </c>
      <c r="B48" s="20">
        <f t="shared" ref="B48:M48" ca="1" si="20">MAX(B22, 0)</f>
        <v>0</v>
      </c>
      <c r="C48" s="20">
        <f t="shared" ca="1" si="20"/>
        <v>0</v>
      </c>
      <c r="D48" s="20">
        <f t="shared" ca="1" si="20"/>
        <v>0</v>
      </c>
      <c r="E48" s="20">
        <f t="shared" ca="1" si="20"/>
        <v>0</v>
      </c>
      <c r="F48" s="20">
        <f t="shared" ca="1" si="20"/>
        <v>0</v>
      </c>
      <c r="G48" s="20">
        <f t="shared" ca="1" si="20"/>
        <v>0</v>
      </c>
      <c r="H48" s="20">
        <f t="shared" ca="1" si="20"/>
        <v>0</v>
      </c>
      <c r="I48" s="20">
        <f t="shared" ca="1" si="20"/>
        <v>0</v>
      </c>
      <c r="J48" s="20">
        <f t="shared" ca="1" si="20"/>
        <v>0</v>
      </c>
      <c r="K48" s="20">
        <f t="shared" ca="1" si="20"/>
        <v>0</v>
      </c>
      <c r="L48" s="20">
        <f t="shared" ca="1" si="20"/>
        <v>0</v>
      </c>
      <c r="M48" s="21">
        <f t="shared" ca="1" si="20"/>
        <v>0</v>
      </c>
      <c r="N48"/>
      <c r="O48"/>
      <c r="P48"/>
      <c r="Q48"/>
      <c r="R48"/>
      <c r="S48"/>
      <c r="T48"/>
      <c r="U48"/>
      <c r="V48"/>
      <c r="W48"/>
      <c r="X48"/>
      <c r="Y48"/>
      <c r="Z48"/>
    </row>
    <row r="49" spans="1:26" ht="23.25" x14ac:dyDescent="0.35">
      <c r="A49" s="18">
        <v>0.83333333333333304</v>
      </c>
      <c r="B49" s="20">
        <f t="shared" ref="B49:M49" ca="1" si="21">MAX(B23, 0)</f>
        <v>0</v>
      </c>
      <c r="C49" s="20">
        <f t="shared" ca="1" si="21"/>
        <v>0</v>
      </c>
      <c r="D49" s="20">
        <f t="shared" ca="1" si="21"/>
        <v>0</v>
      </c>
      <c r="E49" s="20">
        <f t="shared" ca="1" si="21"/>
        <v>0</v>
      </c>
      <c r="F49" s="20">
        <f t="shared" ca="1" si="21"/>
        <v>0</v>
      </c>
      <c r="G49" s="20">
        <f t="shared" ca="1" si="21"/>
        <v>0</v>
      </c>
      <c r="H49" s="20">
        <f t="shared" ca="1" si="21"/>
        <v>0</v>
      </c>
      <c r="I49" s="20">
        <f t="shared" ca="1" si="21"/>
        <v>0</v>
      </c>
      <c r="J49" s="20">
        <f t="shared" ca="1" si="21"/>
        <v>0</v>
      </c>
      <c r="K49" s="20">
        <f t="shared" ca="1" si="21"/>
        <v>0</v>
      </c>
      <c r="L49" s="20">
        <f t="shared" ca="1" si="21"/>
        <v>0</v>
      </c>
      <c r="M49" s="21">
        <f t="shared" ca="1" si="21"/>
        <v>0</v>
      </c>
      <c r="N49"/>
      <c r="O49"/>
      <c r="P49"/>
      <c r="Q49"/>
      <c r="R49"/>
      <c r="S49"/>
      <c r="T49"/>
      <c r="U49"/>
      <c r="V49"/>
      <c r="W49"/>
      <c r="X49"/>
      <c r="Y49"/>
      <c r="Z49"/>
    </row>
    <row r="50" spans="1:26" ht="23.25" x14ac:dyDescent="0.35">
      <c r="A50" s="18">
        <v>0.875</v>
      </c>
      <c r="B50" s="20">
        <f t="shared" ref="B50:M50" ca="1" si="22">MAX(B24, 0)</f>
        <v>0</v>
      </c>
      <c r="C50" s="20">
        <f t="shared" ca="1" si="22"/>
        <v>0</v>
      </c>
      <c r="D50" s="20">
        <f t="shared" ca="1" si="22"/>
        <v>0</v>
      </c>
      <c r="E50" s="20">
        <f t="shared" ca="1" si="22"/>
        <v>0</v>
      </c>
      <c r="F50" s="20">
        <f t="shared" ca="1" si="22"/>
        <v>0</v>
      </c>
      <c r="G50" s="20">
        <f t="shared" ca="1" si="22"/>
        <v>0</v>
      </c>
      <c r="H50" s="20">
        <f t="shared" ca="1" si="22"/>
        <v>0</v>
      </c>
      <c r="I50" s="20">
        <f t="shared" ca="1" si="22"/>
        <v>0</v>
      </c>
      <c r="J50" s="20">
        <f t="shared" ca="1" si="22"/>
        <v>0</v>
      </c>
      <c r="K50" s="20">
        <f t="shared" ca="1" si="22"/>
        <v>0</v>
      </c>
      <c r="L50" s="20">
        <f t="shared" ca="1" si="22"/>
        <v>0</v>
      </c>
      <c r="M50" s="21">
        <f t="shared" ca="1" si="22"/>
        <v>0</v>
      </c>
      <c r="N50"/>
      <c r="O50"/>
      <c r="P50"/>
      <c r="Q50"/>
      <c r="R50"/>
      <c r="S50"/>
      <c r="T50"/>
      <c r="U50"/>
      <c r="V50"/>
      <c r="W50"/>
      <c r="X50"/>
      <c r="Y50"/>
      <c r="Z50"/>
    </row>
    <row r="51" spans="1:26" ht="23.25" x14ac:dyDescent="0.35">
      <c r="A51" s="18">
        <v>0.91666666666666696</v>
      </c>
      <c r="B51" s="20">
        <f t="shared" ref="B51:M51" ca="1" si="23">MAX(B25, 0)</f>
        <v>0</v>
      </c>
      <c r="C51" s="20">
        <f t="shared" ca="1" si="23"/>
        <v>0</v>
      </c>
      <c r="D51" s="20">
        <f t="shared" ca="1" si="23"/>
        <v>0</v>
      </c>
      <c r="E51" s="20">
        <f t="shared" ca="1" si="23"/>
        <v>0</v>
      </c>
      <c r="F51" s="20">
        <f t="shared" ca="1" si="23"/>
        <v>0</v>
      </c>
      <c r="G51" s="20">
        <f t="shared" ca="1" si="23"/>
        <v>0</v>
      </c>
      <c r="H51" s="20">
        <f t="shared" ca="1" si="23"/>
        <v>0</v>
      </c>
      <c r="I51" s="20">
        <f t="shared" ca="1" si="23"/>
        <v>0</v>
      </c>
      <c r="J51" s="20">
        <f t="shared" ca="1" si="23"/>
        <v>0</v>
      </c>
      <c r="K51" s="20">
        <f t="shared" ca="1" si="23"/>
        <v>0</v>
      </c>
      <c r="L51" s="20">
        <f t="shared" ca="1" si="23"/>
        <v>0</v>
      </c>
      <c r="M51" s="21">
        <f t="shared" ca="1" si="23"/>
        <v>0</v>
      </c>
      <c r="N51"/>
      <c r="O51"/>
      <c r="P51"/>
      <c r="Q51"/>
      <c r="R51"/>
      <c r="S51"/>
      <c r="T51"/>
      <c r="U51"/>
      <c r="V51"/>
      <c r="W51"/>
      <c r="X51"/>
      <c r="Y51"/>
      <c r="Z51"/>
    </row>
    <row r="52" spans="1:26" ht="23.25" x14ac:dyDescent="0.35">
      <c r="A52" s="25">
        <v>0.95833333333333304</v>
      </c>
      <c r="B52" s="20">
        <f t="shared" ref="B52:M52" ca="1" si="24">MAX(B26, 0)</f>
        <v>0</v>
      </c>
      <c r="C52" s="20">
        <f t="shared" ca="1" si="24"/>
        <v>0</v>
      </c>
      <c r="D52" s="20">
        <f t="shared" ca="1" si="24"/>
        <v>0</v>
      </c>
      <c r="E52" s="20">
        <f t="shared" ca="1" si="24"/>
        <v>0</v>
      </c>
      <c r="F52" s="20">
        <f t="shared" ca="1" si="24"/>
        <v>0</v>
      </c>
      <c r="G52" s="20">
        <f t="shared" ca="1" si="24"/>
        <v>0</v>
      </c>
      <c r="H52" s="20">
        <f t="shared" ca="1" si="24"/>
        <v>0</v>
      </c>
      <c r="I52" s="20">
        <f t="shared" ca="1" si="24"/>
        <v>0</v>
      </c>
      <c r="J52" s="20">
        <f t="shared" ca="1" si="24"/>
        <v>0</v>
      </c>
      <c r="K52" s="20">
        <f t="shared" ca="1" si="24"/>
        <v>0</v>
      </c>
      <c r="L52" s="20">
        <f t="shared" ca="1" si="24"/>
        <v>0</v>
      </c>
      <c r="M52" s="21">
        <f t="shared" ca="1" si="24"/>
        <v>0</v>
      </c>
      <c r="N52"/>
      <c r="O52"/>
      <c r="P52"/>
      <c r="Q52"/>
      <c r="R52"/>
      <c r="S52"/>
      <c r="T52"/>
      <c r="U52"/>
      <c r="V52"/>
      <c r="W52"/>
      <c r="X52"/>
      <c r="Y52"/>
      <c r="Z52"/>
    </row>
    <row r="53" spans="1:26" ht="23.25" x14ac:dyDescent="0.35">
      <c r="A53" s="48" t="s">
        <v>47</v>
      </c>
      <c r="B53" s="49">
        <f ca="1">SUM(B29:B52)</f>
        <v>0</v>
      </c>
      <c r="C53" s="49">
        <f t="shared" ref="C53:M53" ca="1" si="25">SUM(C29:C52)</f>
        <v>0</v>
      </c>
      <c r="D53" s="49">
        <f t="shared" ca="1" si="25"/>
        <v>0</v>
      </c>
      <c r="E53" s="49">
        <f t="shared" ca="1" si="25"/>
        <v>0</v>
      </c>
      <c r="F53" s="49">
        <f t="shared" ca="1" si="25"/>
        <v>0</v>
      </c>
      <c r="G53" s="49">
        <f t="shared" ca="1" si="25"/>
        <v>0</v>
      </c>
      <c r="H53" s="49">
        <f t="shared" ca="1" si="25"/>
        <v>0</v>
      </c>
      <c r="I53" s="49">
        <f t="shared" ca="1" si="25"/>
        <v>0</v>
      </c>
      <c r="J53" s="49">
        <f t="shared" ca="1" si="25"/>
        <v>0</v>
      </c>
      <c r="K53" s="49">
        <f t="shared" ca="1" si="25"/>
        <v>0</v>
      </c>
      <c r="L53" s="49">
        <f t="shared" ca="1" si="25"/>
        <v>0</v>
      </c>
      <c r="M53" s="49">
        <f t="shared" ca="1" si="25"/>
        <v>0</v>
      </c>
      <c r="N53"/>
      <c r="O53"/>
      <c r="P53"/>
      <c r="Q53"/>
      <c r="R53"/>
      <c r="S53"/>
      <c r="T53"/>
      <c r="U53"/>
      <c r="V53"/>
      <c r="W53"/>
      <c r="X53"/>
      <c r="Y53"/>
      <c r="Z53"/>
    </row>
    <row r="54" spans="1:26" ht="33.75" x14ac:dyDescent="0.5">
      <c r="A54" s="67" t="s">
        <v>66</v>
      </c>
      <c r="B54" s="67"/>
      <c r="C54" s="67"/>
      <c r="D54" s="67"/>
      <c r="E54" s="67"/>
      <c r="F54" s="67"/>
      <c r="G54" s="67"/>
      <c r="H54" s="67"/>
      <c r="I54" s="67"/>
      <c r="J54" s="67"/>
      <c r="K54" s="67"/>
      <c r="L54" s="67"/>
      <c r="M54" s="67"/>
      <c r="N54"/>
      <c r="O54"/>
      <c r="P54"/>
      <c r="Q54"/>
      <c r="R54"/>
      <c r="S54"/>
      <c r="T54"/>
      <c r="U54"/>
      <c r="V54"/>
      <c r="W54"/>
      <c r="X54"/>
      <c r="Y54"/>
      <c r="Z54"/>
    </row>
    <row r="55" spans="1:26" ht="23.25" x14ac:dyDescent="0.35">
      <c r="A55" s="16" t="s">
        <v>14</v>
      </c>
      <c r="B55" s="17" t="s">
        <v>16</v>
      </c>
      <c r="C55" s="17" t="s">
        <v>17</v>
      </c>
      <c r="D55" s="17" t="s">
        <v>18</v>
      </c>
      <c r="E55" s="17" t="s">
        <v>19</v>
      </c>
      <c r="F55" s="17" t="s">
        <v>4</v>
      </c>
      <c r="G55" s="17" t="s">
        <v>20</v>
      </c>
      <c r="H55" s="17" t="s">
        <v>21</v>
      </c>
      <c r="I55" s="17" t="s">
        <v>22</v>
      </c>
      <c r="J55" s="17" t="s">
        <v>23</v>
      </c>
      <c r="K55" s="17" t="s">
        <v>24</v>
      </c>
      <c r="L55" s="17" t="s">
        <v>25</v>
      </c>
      <c r="M55" s="17" t="s">
        <v>26</v>
      </c>
      <c r="N55"/>
      <c r="O55"/>
      <c r="P55"/>
      <c r="Q55"/>
      <c r="R55"/>
      <c r="S55"/>
      <c r="T55"/>
      <c r="U55"/>
      <c r="V55"/>
      <c r="W55"/>
      <c r="X55"/>
      <c r="Y55"/>
      <c r="Z55"/>
    </row>
    <row r="56" spans="1:26" ht="23.25" x14ac:dyDescent="0.35">
      <c r="A56" s="18">
        <v>0</v>
      </c>
      <c r="B56" s="20">
        <f ca="1">-(MIN(B3, 0))</f>
        <v>0</v>
      </c>
      <c r="C56" s="20">
        <f t="shared" ref="C56:M56" ca="1" si="26">-(MIN(C3, 0))</f>
        <v>0</v>
      </c>
      <c r="D56" s="20">
        <f t="shared" ca="1" si="26"/>
        <v>0</v>
      </c>
      <c r="E56" s="20">
        <f t="shared" ca="1" si="26"/>
        <v>0</v>
      </c>
      <c r="F56" s="20">
        <f t="shared" ca="1" si="26"/>
        <v>0</v>
      </c>
      <c r="G56" s="20">
        <f t="shared" ca="1" si="26"/>
        <v>0</v>
      </c>
      <c r="H56" s="20">
        <f t="shared" ca="1" si="26"/>
        <v>0</v>
      </c>
      <c r="I56" s="20">
        <f t="shared" ca="1" si="26"/>
        <v>0</v>
      </c>
      <c r="J56" s="20">
        <f t="shared" ca="1" si="26"/>
        <v>0</v>
      </c>
      <c r="K56" s="20">
        <f t="shared" ca="1" si="26"/>
        <v>0</v>
      </c>
      <c r="L56" s="20">
        <f t="shared" ca="1" si="26"/>
        <v>0</v>
      </c>
      <c r="M56" s="21">
        <f t="shared" ca="1" si="26"/>
        <v>0</v>
      </c>
      <c r="N56"/>
      <c r="O56"/>
      <c r="P56"/>
      <c r="Q56"/>
      <c r="R56"/>
      <c r="S56"/>
      <c r="T56"/>
      <c r="U56"/>
      <c r="V56"/>
      <c r="W56"/>
      <c r="X56"/>
      <c r="Y56"/>
      <c r="Z56"/>
    </row>
    <row r="57" spans="1:26" ht="23.25" x14ac:dyDescent="0.35">
      <c r="A57" s="18">
        <v>4.1666666666666699E-2</v>
      </c>
      <c r="B57" s="20">
        <f t="shared" ref="B57:M57" ca="1" si="27">-(MIN(B4, 0))</f>
        <v>0</v>
      </c>
      <c r="C57" s="20">
        <f t="shared" ca="1" si="27"/>
        <v>0</v>
      </c>
      <c r="D57" s="20">
        <f t="shared" ca="1" si="27"/>
        <v>0</v>
      </c>
      <c r="E57" s="20">
        <f t="shared" ca="1" si="27"/>
        <v>0</v>
      </c>
      <c r="F57" s="20">
        <f t="shared" ca="1" si="27"/>
        <v>0</v>
      </c>
      <c r="G57" s="20">
        <f t="shared" ca="1" si="27"/>
        <v>0</v>
      </c>
      <c r="H57" s="20">
        <f t="shared" ca="1" si="27"/>
        <v>0</v>
      </c>
      <c r="I57" s="20">
        <f t="shared" ca="1" si="27"/>
        <v>0</v>
      </c>
      <c r="J57" s="20">
        <f t="shared" ca="1" si="27"/>
        <v>0</v>
      </c>
      <c r="K57" s="20">
        <f t="shared" ca="1" si="27"/>
        <v>0</v>
      </c>
      <c r="L57" s="20">
        <f t="shared" ca="1" si="27"/>
        <v>0</v>
      </c>
      <c r="M57" s="21">
        <f t="shared" ca="1" si="27"/>
        <v>0</v>
      </c>
      <c r="N57"/>
      <c r="O57"/>
      <c r="P57"/>
      <c r="Q57"/>
      <c r="R57"/>
      <c r="S57"/>
      <c r="T57"/>
      <c r="U57"/>
      <c r="V57"/>
      <c r="W57"/>
      <c r="X57"/>
      <c r="Y57"/>
      <c r="Z57"/>
    </row>
    <row r="58" spans="1:26" ht="23.25" x14ac:dyDescent="0.35">
      <c r="A58" s="18">
        <v>8.3333333333333301E-2</v>
      </c>
      <c r="B58" s="20">
        <f t="shared" ref="B58:M58" ca="1" si="28">-(MIN(B5, 0))</f>
        <v>0</v>
      </c>
      <c r="C58" s="20">
        <f t="shared" ca="1" si="28"/>
        <v>0</v>
      </c>
      <c r="D58" s="20">
        <f t="shared" ca="1" si="28"/>
        <v>0</v>
      </c>
      <c r="E58" s="20">
        <f t="shared" ca="1" si="28"/>
        <v>0</v>
      </c>
      <c r="F58" s="20">
        <f t="shared" ca="1" si="28"/>
        <v>0</v>
      </c>
      <c r="G58" s="20">
        <f t="shared" ca="1" si="28"/>
        <v>0</v>
      </c>
      <c r="H58" s="20">
        <f t="shared" ca="1" si="28"/>
        <v>0</v>
      </c>
      <c r="I58" s="20">
        <f t="shared" ca="1" si="28"/>
        <v>0</v>
      </c>
      <c r="J58" s="20">
        <f t="shared" ca="1" si="28"/>
        <v>0</v>
      </c>
      <c r="K58" s="20">
        <f t="shared" ca="1" si="28"/>
        <v>0</v>
      </c>
      <c r="L58" s="20">
        <f t="shared" ca="1" si="28"/>
        <v>0</v>
      </c>
      <c r="M58" s="21">
        <f t="shared" ca="1" si="28"/>
        <v>0</v>
      </c>
      <c r="N58"/>
      <c r="O58"/>
      <c r="P58"/>
      <c r="Q58"/>
      <c r="R58"/>
      <c r="S58"/>
      <c r="T58"/>
      <c r="U58"/>
      <c r="V58"/>
      <c r="W58"/>
      <c r="X58"/>
      <c r="Y58"/>
      <c r="Z58"/>
    </row>
    <row r="59" spans="1:26" ht="23.25" x14ac:dyDescent="0.35">
      <c r="A59" s="18">
        <v>0.125</v>
      </c>
      <c r="B59" s="20">
        <f t="shared" ref="B59:M59" ca="1" si="29">-(MIN(B6, 0))</f>
        <v>0</v>
      </c>
      <c r="C59" s="20">
        <f t="shared" ca="1" si="29"/>
        <v>0</v>
      </c>
      <c r="D59" s="20">
        <f t="shared" ca="1" si="29"/>
        <v>0</v>
      </c>
      <c r="E59" s="20">
        <f t="shared" ca="1" si="29"/>
        <v>0</v>
      </c>
      <c r="F59" s="20">
        <f t="shared" ca="1" si="29"/>
        <v>0</v>
      </c>
      <c r="G59" s="20">
        <f t="shared" ca="1" si="29"/>
        <v>0</v>
      </c>
      <c r="H59" s="20">
        <f t="shared" ca="1" si="29"/>
        <v>0</v>
      </c>
      <c r="I59" s="20">
        <f t="shared" ca="1" si="29"/>
        <v>0</v>
      </c>
      <c r="J59" s="20">
        <f t="shared" ca="1" si="29"/>
        <v>0</v>
      </c>
      <c r="K59" s="20">
        <f t="shared" ca="1" si="29"/>
        <v>0</v>
      </c>
      <c r="L59" s="20">
        <f t="shared" ca="1" si="29"/>
        <v>0</v>
      </c>
      <c r="M59" s="21">
        <f t="shared" ca="1" si="29"/>
        <v>0</v>
      </c>
      <c r="N59"/>
      <c r="O59"/>
      <c r="P59"/>
      <c r="Q59"/>
      <c r="R59"/>
      <c r="S59"/>
      <c r="T59"/>
      <c r="U59"/>
      <c r="V59"/>
      <c r="W59"/>
      <c r="X59"/>
      <c r="Y59"/>
      <c r="Z59"/>
    </row>
    <row r="60" spans="1:26" ht="23.25" x14ac:dyDescent="0.35">
      <c r="A60" s="18">
        <v>0.16666666666666699</v>
      </c>
      <c r="B60" s="20">
        <f t="shared" ref="B60:M60" ca="1" si="30">-(MIN(B7, 0))</f>
        <v>0</v>
      </c>
      <c r="C60" s="20">
        <f t="shared" ca="1" si="30"/>
        <v>0</v>
      </c>
      <c r="D60" s="20">
        <f t="shared" ca="1" si="30"/>
        <v>0</v>
      </c>
      <c r="E60" s="20">
        <f t="shared" ca="1" si="30"/>
        <v>0</v>
      </c>
      <c r="F60" s="20">
        <f t="shared" ca="1" si="30"/>
        <v>0</v>
      </c>
      <c r="G60" s="20">
        <f t="shared" ca="1" si="30"/>
        <v>0</v>
      </c>
      <c r="H60" s="20">
        <f t="shared" ca="1" si="30"/>
        <v>0</v>
      </c>
      <c r="I60" s="20">
        <f t="shared" ca="1" si="30"/>
        <v>0</v>
      </c>
      <c r="J60" s="20">
        <f t="shared" ca="1" si="30"/>
        <v>0</v>
      </c>
      <c r="K60" s="20">
        <f t="shared" ca="1" si="30"/>
        <v>0</v>
      </c>
      <c r="L60" s="20">
        <f t="shared" ca="1" si="30"/>
        <v>0</v>
      </c>
      <c r="M60" s="21">
        <f t="shared" ca="1" si="30"/>
        <v>0</v>
      </c>
      <c r="N60"/>
      <c r="O60"/>
      <c r="P60"/>
      <c r="Q60"/>
      <c r="R60"/>
      <c r="S60"/>
      <c r="T60"/>
      <c r="U60"/>
      <c r="V60"/>
      <c r="W60"/>
      <c r="X60"/>
      <c r="Y60"/>
      <c r="Z60"/>
    </row>
    <row r="61" spans="1:26" ht="23.25" x14ac:dyDescent="0.35">
      <c r="A61" s="18">
        <v>0.20833333333333301</v>
      </c>
      <c r="B61" s="20">
        <f t="shared" ref="B61:M61" ca="1" si="31">-(MIN(B8, 0))</f>
        <v>0</v>
      </c>
      <c r="C61" s="20">
        <f t="shared" ca="1" si="31"/>
        <v>0</v>
      </c>
      <c r="D61" s="20">
        <f t="shared" ca="1" si="31"/>
        <v>0</v>
      </c>
      <c r="E61" s="20">
        <f t="shared" ca="1" si="31"/>
        <v>0</v>
      </c>
      <c r="F61" s="20">
        <f t="shared" ca="1" si="31"/>
        <v>0</v>
      </c>
      <c r="G61" s="20">
        <f t="shared" ca="1" si="31"/>
        <v>0</v>
      </c>
      <c r="H61" s="20">
        <f t="shared" ca="1" si="31"/>
        <v>0</v>
      </c>
      <c r="I61" s="20">
        <f t="shared" ca="1" si="31"/>
        <v>0</v>
      </c>
      <c r="J61" s="20">
        <f t="shared" ca="1" si="31"/>
        <v>0</v>
      </c>
      <c r="K61" s="20">
        <f t="shared" ca="1" si="31"/>
        <v>0</v>
      </c>
      <c r="L61" s="20">
        <f t="shared" ca="1" si="31"/>
        <v>0</v>
      </c>
      <c r="M61" s="21">
        <f t="shared" ca="1" si="31"/>
        <v>0</v>
      </c>
      <c r="N61"/>
      <c r="O61"/>
      <c r="P61"/>
      <c r="Q61"/>
      <c r="R61"/>
      <c r="S61"/>
      <c r="T61"/>
      <c r="U61"/>
      <c r="V61"/>
      <c r="W61"/>
      <c r="X61"/>
      <c r="Y61"/>
      <c r="Z61"/>
    </row>
    <row r="62" spans="1:26" ht="23.25" x14ac:dyDescent="0.35">
      <c r="A62" s="18">
        <v>0.25</v>
      </c>
      <c r="B62" s="20">
        <f t="shared" ref="B62:M62" ca="1" si="32">-(MIN(B9, 0))</f>
        <v>0</v>
      </c>
      <c r="C62" s="20">
        <f t="shared" ca="1" si="32"/>
        <v>0</v>
      </c>
      <c r="D62" s="20">
        <f t="shared" ca="1" si="32"/>
        <v>0</v>
      </c>
      <c r="E62" s="20">
        <f t="shared" ca="1" si="32"/>
        <v>0</v>
      </c>
      <c r="F62" s="20">
        <f t="shared" ca="1" si="32"/>
        <v>0</v>
      </c>
      <c r="G62" s="20">
        <f t="shared" ca="1" si="32"/>
        <v>0</v>
      </c>
      <c r="H62" s="20">
        <f t="shared" ca="1" si="32"/>
        <v>0</v>
      </c>
      <c r="I62" s="20">
        <f t="shared" ca="1" si="32"/>
        <v>0</v>
      </c>
      <c r="J62" s="20">
        <f t="shared" ca="1" si="32"/>
        <v>0</v>
      </c>
      <c r="K62" s="20">
        <f t="shared" ca="1" si="32"/>
        <v>0</v>
      </c>
      <c r="L62" s="20">
        <f t="shared" ca="1" si="32"/>
        <v>0</v>
      </c>
      <c r="M62" s="21">
        <f t="shared" ca="1" si="32"/>
        <v>0</v>
      </c>
      <c r="N62"/>
      <c r="O62"/>
      <c r="P62"/>
      <c r="Q62"/>
      <c r="R62"/>
      <c r="S62"/>
      <c r="T62"/>
      <c r="U62"/>
      <c r="V62"/>
      <c r="W62"/>
      <c r="X62"/>
      <c r="Y62"/>
      <c r="Z62"/>
    </row>
    <row r="63" spans="1:26" ht="23.25" x14ac:dyDescent="0.35">
      <c r="A63" s="18">
        <v>0.29166666666666702</v>
      </c>
      <c r="B63" s="20">
        <f t="shared" ref="B63:M63" ca="1" si="33">-(MIN(B10, 0))</f>
        <v>0</v>
      </c>
      <c r="C63" s="20">
        <f t="shared" ca="1" si="33"/>
        <v>0</v>
      </c>
      <c r="D63" s="20">
        <f t="shared" ca="1" si="33"/>
        <v>0</v>
      </c>
      <c r="E63" s="20">
        <f t="shared" ca="1" si="33"/>
        <v>0</v>
      </c>
      <c r="F63" s="20">
        <f t="shared" ca="1" si="33"/>
        <v>0</v>
      </c>
      <c r="G63" s="20">
        <f t="shared" ca="1" si="33"/>
        <v>0</v>
      </c>
      <c r="H63" s="20">
        <f t="shared" ca="1" si="33"/>
        <v>0</v>
      </c>
      <c r="I63" s="20">
        <f t="shared" ca="1" si="33"/>
        <v>0</v>
      </c>
      <c r="J63" s="20">
        <f t="shared" ca="1" si="33"/>
        <v>0</v>
      </c>
      <c r="K63" s="20">
        <f t="shared" ca="1" si="33"/>
        <v>0</v>
      </c>
      <c r="L63" s="20">
        <f t="shared" ca="1" si="33"/>
        <v>0</v>
      </c>
      <c r="M63" s="21">
        <f t="shared" ca="1" si="33"/>
        <v>0</v>
      </c>
      <c r="N63"/>
      <c r="O63"/>
      <c r="P63"/>
      <c r="Q63"/>
      <c r="R63"/>
      <c r="S63"/>
      <c r="T63"/>
      <c r="U63"/>
      <c r="V63"/>
      <c r="W63"/>
      <c r="X63"/>
      <c r="Y63"/>
      <c r="Z63"/>
    </row>
    <row r="64" spans="1:26" ht="23.25" x14ac:dyDescent="0.35">
      <c r="A64" s="18">
        <v>0.33333333333333298</v>
      </c>
      <c r="B64" s="20">
        <f t="shared" ref="B64:M64" ca="1" si="34">-(MIN(B11, 0))</f>
        <v>0</v>
      </c>
      <c r="C64" s="20">
        <f t="shared" ca="1" si="34"/>
        <v>0</v>
      </c>
      <c r="D64" s="20">
        <f t="shared" ca="1" si="34"/>
        <v>0</v>
      </c>
      <c r="E64" s="20">
        <f t="shared" ca="1" si="34"/>
        <v>0</v>
      </c>
      <c r="F64" s="20">
        <f t="shared" ca="1" si="34"/>
        <v>0</v>
      </c>
      <c r="G64" s="20">
        <f t="shared" ca="1" si="34"/>
        <v>0</v>
      </c>
      <c r="H64" s="20">
        <f t="shared" ca="1" si="34"/>
        <v>0</v>
      </c>
      <c r="I64" s="20">
        <f t="shared" ca="1" si="34"/>
        <v>0</v>
      </c>
      <c r="J64" s="20">
        <f t="shared" ca="1" si="34"/>
        <v>0</v>
      </c>
      <c r="K64" s="20">
        <f t="shared" ca="1" si="34"/>
        <v>0</v>
      </c>
      <c r="L64" s="20">
        <f t="shared" ca="1" si="34"/>
        <v>0</v>
      </c>
      <c r="M64" s="21">
        <f t="shared" ca="1" si="34"/>
        <v>0</v>
      </c>
      <c r="N64"/>
      <c r="O64"/>
      <c r="P64"/>
      <c r="Q64"/>
      <c r="R64"/>
      <c r="S64"/>
      <c r="T64"/>
      <c r="U64"/>
      <c r="V64"/>
      <c r="W64"/>
      <c r="X64"/>
      <c r="Y64"/>
      <c r="Z64"/>
    </row>
    <row r="65" spans="1:26" ht="23.25" x14ac:dyDescent="0.35">
      <c r="A65" s="18">
        <v>0.375</v>
      </c>
      <c r="B65" s="20">
        <f t="shared" ref="B65:M65" ca="1" si="35">-(MIN(B12, 0))</f>
        <v>0</v>
      </c>
      <c r="C65" s="20">
        <f t="shared" ca="1" si="35"/>
        <v>0</v>
      </c>
      <c r="D65" s="20">
        <f t="shared" ca="1" si="35"/>
        <v>0</v>
      </c>
      <c r="E65" s="20">
        <f t="shared" ca="1" si="35"/>
        <v>0</v>
      </c>
      <c r="F65" s="20">
        <f t="shared" ca="1" si="35"/>
        <v>0</v>
      </c>
      <c r="G65" s="20">
        <f t="shared" ca="1" si="35"/>
        <v>0</v>
      </c>
      <c r="H65" s="20">
        <f t="shared" ca="1" si="35"/>
        <v>0</v>
      </c>
      <c r="I65" s="20">
        <f t="shared" ca="1" si="35"/>
        <v>0</v>
      </c>
      <c r="J65" s="20">
        <f t="shared" ca="1" si="35"/>
        <v>0</v>
      </c>
      <c r="K65" s="20">
        <f t="shared" ca="1" si="35"/>
        <v>0</v>
      </c>
      <c r="L65" s="20">
        <f t="shared" ca="1" si="35"/>
        <v>0</v>
      </c>
      <c r="M65" s="21">
        <f t="shared" ca="1" si="35"/>
        <v>0</v>
      </c>
      <c r="N65"/>
      <c r="O65"/>
      <c r="P65"/>
      <c r="Q65"/>
      <c r="R65"/>
      <c r="S65"/>
      <c r="T65"/>
      <c r="U65"/>
      <c r="V65"/>
      <c r="W65"/>
      <c r="X65"/>
      <c r="Y65"/>
      <c r="Z65"/>
    </row>
    <row r="66" spans="1:26" ht="23.25" x14ac:dyDescent="0.35">
      <c r="A66" s="18">
        <v>0.41666666666666702</v>
      </c>
      <c r="B66" s="20">
        <f t="shared" ref="B66:M66" ca="1" si="36">-(MIN(B13, 0))</f>
        <v>0</v>
      </c>
      <c r="C66" s="20">
        <f t="shared" ca="1" si="36"/>
        <v>0</v>
      </c>
      <c r="D66" s="20">
        <f t="shared" ca="1" si="36"/>
        <v>0</v>
      </c>
      <c r="E66" s="20">
        <f t="shared" ca="1" si="36"/>
        <v>0</v>
      </c>
      <c r="F66" s="20">
        <f t="shared" ca="1" si="36"/>
        <v>0</v>
      </c>
      <c r="G66" s="20">
        <f t="shared" ca="1" si="36"/>
        <v>0</v>
      </c>
      <c r="H66" s="20">
        <f t="shared" ca="1" si="36"/>
        <v>0</v>
      </c>
      <c r="I66" s="20">
        <f t="shared" ca="1" si="36"/>
        <v>0</v>
      </c>
      <c r="J66" s="20">
        <f t="shared" ca="1" si="36"/>
        <v>0</v>
      </c>
      <c r="K66" s="20">
        <f t="shared" ca="1" si="36"/>
        <v>0</v>
      </c>
      <c r="L66" s="20">
        <f t="shared" ca="1" si="36"/>
        <v>0</v>
      </c>
      <c r="M66" s="21">
        <f t="shared" ca="1" si="36"/>
        <v>0</v>
      </c>
      <c r="N66"/>
      <c r="O66"/>
      <c r="P66"/>
      <c r="Q66"/>
      <c r="R66"/>
      <c r="S66"/>
      <c r="T66"/>
      <c r="U66"/>
      <c r="V66"/>
      <c r="W66"/>
      <c r="X66"/>
      <c r="Y66"/>
      <c r="Z66"/>
    </row>
    <row r="67" spans="1:26" ht="23.25" x14ac:dyDescent="0.35">
      <c r="A67" s="18">
        <v>0.45833333333333298</v>
      </c>
      <c r="B67" s="20">
        <f t="shared" ref="B67:M67" ca="1" si="37">-(MIN(B14, 0))</f>
        <v>0</v>
      </c>
      <c r="C67" s="20">
        <f t="shared" ca="1" si="37"/>
        <v>0</v>
      </c>
      <c r="D67" s="20">
        <f t="shared" ca="1" si="37"/>
        <v>0</v>
      </c>
      <c r="E67" s="20">
        <f t="shared" ca="1" si="37"/>
        <v>0</v>
      </c>
      <c r="F67" s="20">
        <f t="shared" ca="1" si="37"/>
        <v>0</v>
      </c>
      <c r="G67" s="20">
        <f t="shared" ca="1" si="37"/>
        <v>0</v>
      </c>
      <c r="H67" s="20">
        <f t="shared" ca="1" si="37"/>
        <v>0</v>
      </c>
      <c r="I67" s="20">
        <f t="shared" ca="1" si="37"/>
        <v>0</v>
      </c>
      <c r="J67" s="20">
        <f t="shared" ca="1" si="37"/>
        <v>0</v>
      </c>
      <c r="K67" s="20">
        <f t="shared" ca="1" si="37"/>
        <v>0</v>
      </c>
      <c r="L67" s="20">
        <f t="shared" ca="1" si="37"/>
        <v>0</v>
      </c>
      <c r="M67" s="21">
        <f t="shared" ca="1" si="37"/>
        <v>0</v>
      </c>
      <c r="N67"/>
      <c r="O67"/>
      <c r="P67"/>
      <c r="Q67"/>
      <c r="R67"/>
      <c r="S67"/>
      <c r="T67"/>
      <c r="U67"/>
      <c r="V67"/>
      <c r="W67"/>
      <c r="X67"/>
      <c r="Y67"/>
      <c r="Z67"/>
    </row>
    <row r="68" spans="1:26" ht="23.25" x14ac:dyDescent="0.35">
      <c r="A68" s="18">
        <v>0.5</v>
      </c>
      <c r="B68" s="20">
        <f t="shared" ref="B68:M68" ca="1" si="38">-(MIN(B15, 0))</f>
        <v>0</v>
      </c>
      <c r="C68" s="20">
        <f t="shared" ca="1" si="38"/>
        <v>0</v>
      </c>
      <c r="D68" s="20">
        <f t="shared" ca="1" si="38"/>
        <v>0</v>
      </c>
      <c r="E68" s="20">
        <f t="shared" ca="1" si="38"/>
        <v>0</v>
      </c>
      <c r="F68" s="20">
        <f t="shared" ca="1" si="38"/>
        <v>0</v>
      </c>
      <c r="G68" s="20">
        <f t="shared" ca="1" si="38"/>
        <v>0</v>
      </c>
      <c r="H68" s="20">
        <f t="shared" ca="1" si="38"/>
        <v>0</v>
      </c>
      <c r="I68" s="20">
        <f t="shared" ca="1" si="38"/>
        <v>0</v>
      </c>
      <c r="J68" s="20">
        <f t="shared" ca="1" si="38"/>
        <v>0</v>
      </c>
      <c r="K68" s="20">
        <f t="shared" ca="1" si="38"/>
        <v>0</v>
      </c>
      <c r="L68" s="20">
        <f t="shared" ca="1" si="38"/>
        <v>0</v>
      </c>
      <c r="M68" s="21">
        <f t="shared" ca="1" si="38"/>
        <v>0</v>
      </c>
      <c r="N68"/>
      <c r="O68"/>
      <c r="P68"/>
      <c r="Q68"/>
      <c r="R68"/>
      <c r="S68"/>
      <c r="T68"/>
      <c r="U68"/>
      <c r="V68"/>
      <c r="W68"/>
      <c r="X68"/>
      <c r="Y68"/>
      <c r="Z68"/>
    </row>
    <row r="69" spans="1:26" ht="23.25" x14ac:dyDescent="0.35">
      <c r="A69" s="18">
        <v>0.54166666666666696</v>
      </c>
      <c r="B69" s="20">
        <f t="shared" ref="B69:M69" ca="1" si="39">-(MIN(B16, 0))</f>
        <v>0</v>
      </c>
      <c r="C69" s="20">
        <f t="shared" ca="1" si="39"/>
        <v>0</v>
      </c>
      <c r="D69" s="20">
        <f t="shared" ca="1" si="39"/>
        <v>0</v>
      </c>
      <c r="E69" s="20">
        <f t="shared" ca="1" si="39"/>
        <v>0</v>
      </c>
      <c r="F69" s="20">
        <f t="shared" ca="1" si="39"/>
        <v>0</v>
      </c>
      <c r="G69" s="20">
        <f t="shared" ca="1" si="39"/>
        <v>0</v>
      </c>
      <c r="H69" s="20">
        <f t="shared" ca="1" si="39"/>
        <v>0</v>
      </c>
      <c r="I69" s="20">
        <f t="shared" ca="1" si="39"/>
        <v>0</v>
      </c>
      <c r="J69" s="20">
        <f t="shared" ca="1" si="39"/>
        <v>0</v>
      </c>
      <c r="K69" s="20">
        <f t="shared" ca="1" si="39"/>
        <v>0</v>
      </c>
      <c r="L69" s="20">
        <f t="shared" ca="1" si="39"/>
        <v>0</v>
      </c>
      <c r="M69" s="21">
        <f t="shared" ca="1" si="39"/>
        <v>0</v>
      </c>
      <c r="N69"/>
      <c r="O69"/>
      <c r="P69"/>
      <c r="Q69"/>
      <c r="R69"/>
      <c r="S69"/>
      <c r="T69"/>
      <c r="U69"/>
      <c r="V69"/>
      <c r="W69"/>
      <c r="X69"/>
      <c r="Y69"/>
      <c r="Z69"/>
    </row>
    <row r="70" spans="1:26" ht="23.25" x14ac:dyDescent="0.35">
      <c r="A70" s="18">
        <v>0.58333333333333304</v>
      </c>
      <c r="B70" s="20">
        <f t="shared" ref="B70:M70" ca="1" si="40">-(MIN(B17, 0))</f>
        <v>0</v>
      </c>
      <c r="C70" s="20">
        <f t="shared" ca="1" si="40"/>
        <v>0</v>
      </c>
      <c r="D70" s="20">
        <f t="shared" ca="1" si="40"/>
        <v>0</v>
      </c>
      <c r="E70" s="20">
        <f t="shared" ca="1" si="40"/>
        <v>0</v>
      </c>
      <c r="F70" s="20">
        <f t="shared" ca="1" si="40"/>
        <v>0</v>
      </c>
      <c r="G70" s="20">
        <f t="shared" ca="1" si="40"/>
        <v>0</v>
      </c>
      <c r="H70" s="20">
        <f t="shared" ca="1" si="40"/>
        <v>0</v>
      </c>
      <c r="I70" s="20">
        <f t="shared" ca="1" si="40"/>
        <v>0</v>
      </c>
      <c r="J70" s="20">
        <f t="shared" ca="1" si="40"/>
        <v>0</v>
      </c>
      <c r="K70" s="20">
        <f t="shared" ca="1" si="40"/>
        <v>0</v>
      </c>
      <c r="L70" s="20">
        <f t="shared" ca="1" si="40"/>
        <v>0</v>
      </c>
      <c r="M70" s="21">
        <f t="shared" ca="1" si="40"/>
        <v>0</v>
      </c>
      <c r="N70"/>
      <c r="O70"/>
      <c r="P70"/>
      <c r="Q70"/>
      <c r="R70"/>
      <c r="S70"/>
      <c r="T70"/>
      <c r="U70"/>
      <c r="V70"/>
      <c r="W70"/>
      <c r="X70"/>
      <c r="Y70"/>
      <c r="Z70"/>
    </row>
    <row r="71" spans="1:26" ht="23.25" x14ac:dyDescent="0.35">
      <c r="A71" s="18">
        <v>0.625</v>
      </c>
      <c r="B71" s="20">
        <f t="shared" ref="B71:M71" ca="1" si="41">-(MIN(B18, 0))</f>
        <v>0</v>
      </c>
      <c r="C71" s="20">
        <f t="shared" ca="1" si="41"/>
        <v>0</v>
      </c>
      <c r="D71" s="20">
        <f t="shared" ca="1" si="41"/>
        <v>0</v>
      </c>
      <c r="E71" s="20">
        <f t="shared" ca="1" si="41"/>
        <v>0</v>
      </c>
      <c r="F71" s="20">
        <f t="shared" ca="1" si="41"/>
        <v>0</v>
      </c>
      <c r="G71" s="20">
        <f t="shared" ca="1" si="41"/>
        <v>0</v>
      </c>
      <c r="H71" s="20">
        <f t="shared" ca="1" si="41"/>
        <v>0</v>
      </c>
      <c r="I71" s="20">
        <f t="shared" ca="1" si="41"/>
        <v>0</v>
      </c>
      <c r="J71" s="20">
        <f t="shared" ca="1" si="41"/>
        <v>0</v>
      </c>
      <c r="K71" s="20">
        <f t="shared" ca="1" si="41"/>
        <v>0</v>
      </c>
      <c r="L71" s="20">
        <f t="shared" ca="1" si="41"/>
        <v>0</v>
      </c>
      <c r="M71" s="21">
        <f t="shared" ca="1" si="41"/>
        <v>0</v>
      </c>
      <c r="N71"/>
      <c r="O71"/>
      <c r="P71"/>
      <c r="Q71"/>
      <c r="R71"/>
      <c r="S71"/>
      <c r="T71"/>
      <c r="U71"/>
      <c r="V71"/>
      <c r="W71"/>
      <c r="X71"/>
      <c r="Y71"/>
      <c r="Z71"/>
    </row>
    <row r="72" spans="1:26" ht="23.25" x14ac:dyDescent="0.35">
      <c r="A72" s="18">
        <v>0.66666666666666696</v>
      </c>
      <c r="B72" s="20">
        <f t="shared" ref="B72:M72" ca="1" si="42">-(MIN(B19, 0))</f>
        <v>0</v>
      </c>
      <c r="C72" s="20">
        <f t="shared" ca="1" si="42"/>
        <v>0</v>
      </c>
      <c r="D72" s="20">
        <f t="shared" ca="1" si="42"/>
        <v>0</v>
      </c>
      <c r="E72" s="20">
        <f t="shared" ca="1" si="42"/>
        <v>0</v>
      </c>
      <c r="F72" s="20">
        <f t="shared" ca="1" si="42"/>
        <v>0</v>
      </c>
      <c r="G72" s="20">
        <f t="shared" ca="1" si="42"/>
        <v>0</v>
      </c>
      <c r="H72" s="20">
        <f t="shared" ca="1" si="42"/>
        <v>0</v>
      </c>
      <c r="I72" s="20">
        <f t="shared" ca="1" si="42"/>
        <v>0</v>
      </c>
      <c r="J72" s="20">
        <f t="shared" ca="1" si="42"/>
        <v>0</v>
      </c>
      <c r="K72" s="20">
        <f t="shared" ca="1" si="42"/>
        <v>0</v>
      </c>
      <c r="L72" s="20">
        <f t="shared" ca="1" si="42"/>
        <v>0</v>
      </c>
      <c r="M72" s="21">
        <f t="shared" ca="1" si="42"/>
        <v>0</v>
      </c>
      <c r="N72"/>
      <c r="O72"/>
      <c r="P72"/>
      <c r="Q72"/>
      <c r="R72"/>
      <c r="S72"/>
      <c r="T72"/>
      <c r="U72"/>
      <c r="V72"/>
      <c r="W72"/>
      <c r="X72"/>
      <c r="Y72"/>
      <c r="Z72"/>
    </row>
    <row r="73" spans="1:26" ht="23.25" x14ac:dyDescent="0.35">
      <c r="A73" s="18">
        <v>0.70833333333333304</v>
      </c>
      <c r="B73" s="20">
        <f t="shared" ref="B73:M73" ca="1" si="43">-(MIN(B20, 0))</f>
        <v>0</v>
      </c>
      <c r="C73" s="20">
        <f t="shared" ca="1" si="43"/>
        <v>0</v>
      </c>
      <c r="D73" s="20">
        <f t="shared" ca="1" si="43"/>
        <v>0</v>
      </c>
      <c r="E73" s="20">
        <f t="shared" ca="1" si="43"/>
        <v>0</v>
      </c>
      <c r="F73" s="20">
        <f t="shared" ca="1" si="43"/>
        <v>0</v>
      </c>
      <c r="G73" s="20">
        <f t="shared" ca="1" si="43"/>
        <v>0</v>
      </c>
      <c r="H73" s="20">
        <f t="shared" ca="1" si="43"/>
        <v>0</v>
      </c>
      <c r="I73" s="20">
        <f t="shared" ca="1" si="43"/>
        <v>0</v>
      </c>
      <c r="J73" s="20">
        <f t="shared" ca="1" si="43"/>
        <v>0</v>
      </c>
      <c r="K73" s="20">
        <f t="shared" ca="1" si="43"/>
        <v>0</v>
      </c>
      <c r="L73" s="20">
        <f t="shared" ca="1" si="43"/>
        <v>0</v>
      </c>
      <c r="M73" s="21">
        <f t="shared" ca="1" si="43"/>
        <v>0</v>
      </c>
      <c r="N73"/>
      <c r="O73"/>
      <c r="P73"/>
      <c r="Q73"/>
      <c r="R73"/>
      <c r="S73"/>
      <c r="T73"/>
      <c r="U73"/>
      <c r="V73"/>
      <c r="W73"/>
      <c r="X73"/>
      <c r="Y73"/>
      <c r="Z73"/>
    </row>
    <row r="74" spans="1:26" ht="23.25" x14ac:dyDescent="0.35">
      <c r="A74" s="18">
        <v>0.75</v>
      </c>
      <c r="B74" s="20">
        <f t="shared" ref="B74:M74" ca="1" si="44">-(MIN(B21, 0))</f>
        <v>0</v>
      </c>
      <c r="C74" s="20">
        <f t="shared" ca="1" si="44"/>
        <v>0</v>
      </c>
      <c r="D74" s="20">
        <f t="shared" ca="1" si="44"/>
        <v>0</v>
      </c>
      <c r="E74" s="20">
        <f t="shared" ca="1" si="44"/>
        <v>0</v>
      </c>
      <c r="F74" s="20">
        <f t="shared" ca="1" si="44"/>
        <v>0</v>
      </c>
      <c r="G74" s="20">
        <f t="shared" ca="1" si="44"/>
        <v>0</v>
      </c>
      <c r="H74" s="20">
        <f t="shared" ca="1" si="44"/>
        <v>0</v>
      </c>
      <c r="I74" s="20">
        <f t="shared" ca="1" si="44"/>
        <v>0</v>
      </c>
      <c r="J74" s="20">
        <f t="shared" ca="1" si="44"/>
        <v>0</v>
      </c>
      <c r="K74" s="20">
        <f t="shared" ca="1" si="44"/>
        <v>0</v>
      </c>
      <c r="L74" s="20">
        <f t="shared" ca="1" si="44"/>
        <v>0</v>
      </c>
      <c r="M74" s="21">
        <f t="shared" ca="1" si="44"/>
        <v>0</v>
      </c>
      <c r="N74"/>
      <c r="O74"/>
      <c r="P74"/>
      <c r="Q74"/>
      <c r="R74"/>
      <c r="S74"/>
      <c r="T74"/>
      <c r="U74"/>
      <c r="V74"/>
      <c r="W74"/>
      <c r="X74"/>
      <c r="Y74"/>
      <c r="Z74"/>
    </row>
    <row r="75" spans="1:26" ht="23.25" x14ac:dyDescent="0.35">
      <c r="A75" s="18">
        <v>0.79166666666666696</v>
      </c>
      <c r="B75" s="20">
        <f t="shared" ref="B75:M75" ca="1" si="45">-(MIN(B22, 0))</f>
        <v>0</v>
      </c>
      <c r="C75" s="20">
        <f t="shared" ca="1" si="45"/>
        <v>0</v>
      </c>
      <c r="D75" s="20">
        <f t="shared" ca="1" si="45"/>
        <v>0</v>
      </c>
      <c r="E75" s="20">
        <f t="shared" ca="1" si="45"/>
        <v>0</v>
      </c>
      <c r="F75" s="20">
        <f t="shared" ca="1" si="45"/>
        <v>0</v>
      </c>
      <c r="G75" s="20">
        <f t="shared" ca="1" si="45"/>
        <v>0</v>
      </c>
      <c r="H75" s="20">
        <f t="shared" ca="1" si="45"/>
        <v>0</v>
      </c>
      <c r="I75" s="20">
        <f t="shared" ca="1" si="45"/>
        <v>0</v>
      </c>
      <c r="J75" s="20">
        <f t="shared" ca="1" si="45"/>
        <v>0</v>
      </c>
      <c r="K75" s="20">
        <f t="shared" ca="1" si="45"/>
        <v>0</v>
      </c>
      <c r="L75" s="20">
        <f t="shared" ca="1" si="45"/>
        <v>0</v>
      </c>
      <c r="M75" s="21">
        <f t="shared" ca="1" si="45"/>
        <v>0</v>
      </c>
      <c r="N75"/>
      <c r="O75"/>
      <c r="P75"/>
      <c r="Q75"/>
      <c r="R75"/>
      <c r="S75"/>
      <c r="T75"/>
      <c r="U75"/>
      <c r="V75"/>
      <c r="W75"/>
      <c r="X75"/>
      <c r="Y75"/>
      <c r="Z75"/>
    </row>
    <row r="76" spans="1:26" ht="23.25" x14ac:dyDescent="0.35">
      <c r="A76" s="18">
        <v>0.83333333333333304</v>
      </c>
      <c r="B76" s="20">
        <f t="shared" ref="B76:M76" ca="1" si="46">-(MIN(B23, 0))</f>
        <v>0</v>
      </c>
      <c r="C76" s="20">
        <f t="shared" ca="1" si="46"/>
        <v>0</v>
      </c>
      <c r="D76" s="20">
        <f t="shared" ca="1" si="46"/>
        <v>0</v>
      </c>
      <c r="E76" s="20">
        <f t="shared" ca="1" si="46"/>
        <v>0</v>
      </c>
      <c r="F76" s="20">
        <f t="shared" ca="1" si="46"/>
        <v>0</v>
      </c>
      <c r="G76" s="20">
        <f t="shared" ca="1" si="46"/>
        <v>0</v>
      </c>
      <c r="H76" s="20">
        <f t="shared" ca="1" si="46"/>
        <v>0</v>
      </c>
      <c r="I76" s="20">
        <f t="shared" ca="1" si="46"/>
        <v>0</v>
      </c>
      <c r="J76" s="20">
        <f t="shared" ca="1" si="46"/>
        <v>0</v>
      </c>
      <c r="K76" s="20">
        <f t="shared" ca="1" si="46"/>
        <v>0</v>
      </c>
      <c r="L76" s="20">
        <f t="shared" ca="1" si="46"/>
        <v>0</v>
      </c>
      <c r="M76" s="21">
        <f t="shared" ca="1" si="46"/>
        <v>0</v>
      </c>
      <c r="N76"/>
      <c r="O76"/>
      <c r="P76"/>
      <c r="Q76"/>
      <c r="R76"/>
      <c r="S76"/>
      <c r="T76"/>
      <c r="U76"/>
      <c r="V76"/>
      <c r="W76"/>
      <c r="X76"/>
      <c r="Y76"/>
      <c r="Z76"/>
    </row>
    <row r="77" spans="1:26" ht="23.25" x14ac:dyDescent="0.35">
      <c r="A77" s="18">
        <v>0.875</v>
      </c>
      <c r="B77" s="20">
        <f t="shared" ref="B77:M77" ca="1" si="47">-(MIN(B24, 0))</f>
        <v>0</v>
      </c>
      <c r="C77" s="20">
        <f t="shared" ca="1" si="47"/>
        <v>0</v>
      </c>
      <c r="D77" s="20">
        <f t="shared" ca="1" si="47"/>
        <v>0</v>
      </c>
      <c r="E77" s="20">
        <f t="shared" ca="1" si="47"/>
        <v>0</v>
      </c>
      <c r="F77" s="20">
        <f t="shared" ca="1" si="47"/>
        <v>0</v>
      </c>
      <c r="G77" s="20">
        <f t="shared" ca="1" si="47"/>
        <v>0</v>
      </c>
      <c r="H77" s="20">
        <f t="shared" ca="1" si="47"/>
        <v>0</v>
      </c>
      <c r="I77" s="20">
        <f t="shared" ca="1" si="47"/>
        <v>0</v>
      </c>
      <c r="J77" s="20">
        <f t="shared" ca="1" si="47"/>
        <v>0</v>
      </c>
      <c r="K77" s="20">
        <f t="shared" ca="1" si="47"/>
        <v>0</v>
      </c>
      <c r="L77" s="20">
        <f t="shared" ca="1" si="47"/>
        <v>0</v>
      </c>
      <c r="M77" s="21">
        <f t="shared" ca="1" si="47"/>
        <v>0</v>
      </c>
      <c r="N77"/>
      <c r="O77"/>
      <c r="P77"/>
      <c r="Q77"/>
      <c r="R77"/>
      <c r="S77"/>
      <c r="T77"/>
      <c r="U77"/>
      <c r="V77"/>
      <c r="W77"/>
      <c r="X77"/>
      <c r="Y77"/>
      <c r="Z77"/>
    </row>
    <row r="78" spans="1:26" ht="23.25" x14ac:dyDescent="0.35">
      <c r="A78" s="18">
        <v>0.91666666666666696</v>
      </c>
      <c r="B78" s="20">
        <f t="shared" ref="B78:M78" ca="1" si="48">-(MIN(B25, 0))</f>
        <v>0</v>
      </c>
      <c r="C78" s="20">
        <f t="shared" ca="1" si="48"/>
        <v>0</v>
      </c>
      <c r="D78" s="20">
        <f t="shared" ca="1" si="48"/>
        <v>0</v>
      </c>
      <c r="E78" s="20">
        <f t="shared" ca="1" si="48"/>
        <v>0</v>
      </c>
      <c r="F78" s="20">
        <f t="shared" ca="1" si="48"/>
        <v>0</v>
      </c>
      <c r="G78" s="20">
        <f t="shared" ca="1" si="48"/>
        <v>0</v>
      </c>
      <c r="H78" s="20">
        <f t="shared" ca="1" si="48"/>
        <v>0</v>
      </c>
      <c r="I78" s="20">
        <f t="shared" ca="1" si="48"/>
        <v>0</v>
      </c>
      <c r="J78" s="20">
        <f t="shared" ca="1" si="48"/>
        <v>0</v>
      </c>
      <c r="K78" s="20">
        <f t="shared" ca="1" si="48"/>
        <v>0</v>
      </c>
      <c r="L78" s="20">
        <f t="shared" ca="1" si="48"/>
        <v>0</v>
      </c>
      <c r="M78" s="21">
        <f t="shared" ca="1" si="48"/>
        <v>0</v>
      </c>
      <c r="N78"/>
      <c r="O78"/>
      <c r="P78"/>
      <c r="Q78"/>
      <c r="R78"/>
      <c r="S78"/>
      <c r="T78"/>
      <c r="U78"/>
      <c r="V78"/>
      <c r="W78"/>
      <c r="X78"/>
      <c r="Y78"/>
      <c r="Z78"/>
    </row>
    <row r="79" spans="1:26" ht="23.25" x14ac:dyDescent="0.35">
      <c r="A79" s="25">
        <v>0.95833333333333304</v>
      </c>
      <c r="B79" s="26">
        <f t="shared" ref="B79:M79" ca="1" si="49">-(MIN(B26, 0))</f>
        <v>0</v>
      </c>
      <c r="C79" s="26">
        <f t="shared" ca="1" si="49"/>
        <v>0</v>
      </c>
      <c r="D79" s="26">
        <f t="shared" ca="1" si="49"/>
        <v>0</v>
      </c>
      <c r="E79" s="26">
        <f t="shared" ca="1" si="49"/>
        <v>0</v>
      </c>
      <c r="F79" s="26">
        <f t="shared" ca="1" si="49"/>
        <v>0</v>
      </c>
      <c r="G79" s="26">
        <f t="shared" ca="1" si="49"/>
        <v>0</v>
      </c>
      <c r="H79" s="26">
        <f t="shared" ca="1" si="49"/>
        <v>0</v>
      </c>
      <c r="I79" s="26">
        <f t="shared" ca="1" si="49"/>
        <v>0</v>
      </c>
      <c r="J79" s="26">
        <f t="shared" ca="1" si="49"/>
        <v>0</v>
      </c>
      <c r="K79" s="26">
        <f t="shared" ca="1" si="49"/>
        <v>0</v>
      </c>
      <c r="L79" s="26">
        <f t="shared" ca="1" si="49"/>
        <v>0</v>
      </c>
      <c r="M79" s="27">
        <f t="shared" ca="1" si="49"/>
        <v>0</v>
      </c>
      <c r="N79"/>
      <c r="O79"/>
      <c r="P79"/>
      <c r="Q79"/>
      <c r="R79"/>
      <c r="S79"/>
      <c r="T79"/>
      <c r="U79"/>
      <c r="V79"/>
      <c r="W79"/>
      <c r="X79"/>
      <c r="Y79"/>
      <c r="Z79"/>
    </row>
    <row r="80" spans="1:26" ht="23.25" x14ac:dyDescent="0.35">
      <c r="A80" s="48" t="s">
        <v>47</v>
      </c>
      <c r="B80" s="49">
        <f ca="1">SUM(B56:B79)</f>
        <v>0</v>
      </c>
      <c r="C80" s="49">
        <f t="shared" ref="C80" ca="1" si="50">SUM(C56:C79)</f>
        <v>0</v>
      </c>
      <c r="D80" s="49">
        <f t="shared" ref="D80" ca="1" si="51">SUM(D56:D79)</f>
        <v>0</v>
      </c>
      <c r="E80" s="49">
        <f t="shared" ref="E80" ca="1" si="52">SUM(E56:E79)</f>
        <v>0</v>
      </c>
      <c r="F80" s="49">
        <f t="shared" ref="F80" ca="1" si="53">SUM(F56:F79)</f>
        <v>0</v>
      </c>
      <c r="G80" s="49">
        <f t="shared" ref="G80" ca="1" si="54">SUM(G56:G79)</f>
        <v>0</v>
      </c>
      <c r="H80" s="49">
        <f t="shared" ref="H80" ca="1" si="55">SUM(H56:H79)</f>
        <v>0</v>
      </c>
      <c r="I80" s="49">
        <f t="shared" ref="I80" ca="1" si="56">SUM(I56:I79)</f>
        <v>0</v>
      </c>
      <c r="J80" s="49">
        <f t="shared" ref="J80" ca="1" si="57">SUM(J56:J79)</f>
        <v>0</v>
      </c>
      <c r="K80" s="49">
        <f t="shared" ref="K80" ca="1" si="58">SUM(K56:K79)</f>
        <v>0</v>
      </c>
      <c r="L80" s="49">
        <f t="shared" ref="L80" ca="1" si="59">SUM(L56:L79)</f>
        <v>0</v>
      </c>
      <c r="M80" s="49">
        <f t="shared" ref="M80" ca="1" si="60">SUM(M56:M79)</f>
        <v>0</v>
      </c>
      <c r="N80"/>
      <c r="O80"/>
      <c r="P80"/>
      <c r="Q80"/>
      <c r="R80"/>
      <c r="S80"/>
      <c r="T80"/>
      <c r="U80"/>
      <c r="V80"/>
      <c r="W80"/>
      <c r="X80"/>
      <c r="Y80"/>
      <c r="Z80"/>
    </row>
  </sheetData>
  <sheetProtection deleteColumns="0" deleteRows="0"/>
  <mergeCells count="5">
    <mergeCell ref="A54:M54"/>
    <mergeCell ref="O6:P6"/>
    <mergeCell ref="O2:P2"/>
    <mergeCell ref="A27:M27"/>
    <mergeCell ref="A1:M1"/>
  </mergeCells>
  <phoneticPr fontId="3" type="noConversion"/>
  <conditionalFormatting sqref="B3:M26">
    <cfRule type="colorScale" priority="7">
      <colorScale>
        <cfvo type="min"/>
        <cfvo type="percentile" val="50"/>
        <cfvo type="max"/>
        <color rgb="FF63BE7B"/>
        <color rgb="FFFFEB84"/>
        <color rgb="FFF8696B"/>
      </colorScale>
    </cfRule>
  </conditionalFormatting>
  <conditionalFormatting sqref="B56:M79">
    <cfRule type="colorScale" priority="5">
      <colorScale>
        <cfvo type="min"/>
        <cfvo type="percentile" val="50"/>
        <cfvo type="max"/>
        <color rgb="FF63BE7B"/>
        <color rgb="FFFFEB84"/>
        <color rgb="FFF8696B"/>
      </colorScale>
    </cfRule>
  </conditionalFormatting>
  <conditionalFormatting sqref="B29:M52">
    <cfRule type="colorScale" priority="4">
      <colorScale>
        <cfvo type="min"/>
        <cfvo type="percentile" val="50"/>
        <cfvo type="max"/>
        <color rgb="FF63BE7B"/>
        <color rgb="FFFFEB84"/>
        <color rgb="FFF8696B"/>
      </colorScale>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5A9A-1CF9-4756-925E-5EB3BE0352E8}">
  <dimension ref="A1:Q29"/>
  <sheetViews>
    <sheetView workbookViewId="0">
      <selection activeCell="I34" sqref="I34"/>
    </sheetView>
  </sheetViews>
  <sheetFormatPr defaultRowHeight="15" x14ac:dyDescent="0.25"/>
  <cols>
    <col min="1" max="16384" width="9.140625" style="53"/>
  </cols>
  <sheetData>
    <row r="1" spans="1:17" ht="21" x14ac:dyDescent="0.35">
      <c r="A1" s="75" t="s">
        <v>67</v>
      </c>
      <c r="B1" s="76"/>
      <c r="C1" s="76"/>
      <c r="D1" s="76"/>
      <c r="E1" s="76"/>
      <c r="F1" s="76"/>
      <c r="G1" s="76"/>
      <c r="H1" s="76"/>
      <c r="J1" s="75" t="s">
        <v>68</v>
      </c>
      <c r="K1" s="76"/>
      <c r="L1" s="76"/>
      <c r="M1" s="76"/>
      <c r="N1" s="76"/>
      <c r="O1" s="76"/>
      <c r="P1" s="76"/>
      <c r="Q1" s="76"/>
    </row>
    <row r="25" spans="11:17" x14ac:dyDescent="0.25">
      <c r="K25" s="77" t="s">
        <v>69</v>
      </c>
      <c r="L25" s="77"/>
      <c r="M25" s="77"/>
      <c r="N25" s="77"/>
      <c r="O25" s="77"/>
      <c r="P25" s="77"/>
      <c r="Q25" s="77"/>
    </row>
    <row r="26" spans="11:17" x14ac:dyDescent="0.25">
      <c r="K26" s="77"/>
      <c r="L26" s="77"/>
      <c r="M26" s="77"/>
      <c r="N26" s="77"/>
      <c r="O26" s="77"/>
      <c r="P26" s="77"/>
      <c r="Q26" s="77"/>
    </row>
    <row r="27" spans="11:17" x14ac:dyDescent="0.25">
      <c r="K27" s="77"/>
      <c r="L27" s="77"/>
      <c r="M27" s="77"/>
      <c r="N27" s="77"/>
      <c r="O27" s="77"/>
      <c r="P27" s="77"/>
      <c r="Q27" s="77"/>
    </row>
    <row r="28" spans="11:17" x14ac:dyDescent="0.25">
      <c r="K28" s="77"/>
      <c r="L28" s="77"/>
      <c r="M28" s="77"/>
      <c r="N28" s="77"/>
      <c r="O28" s="77"/>
      <c r="P28" s="77"/>
      <c r="Q28" s="77"/>
    </row>
    <row r="29" spans="11:17" x14ac:dyDescent="0.25">
      <c r="K29" s="77"/>
      <c r="L29" s="77"/>
      <c r="M29" s="77"/>
      <c r="N29" s="77"/>
      <c r="O29" s="77"/>
      <c r="P29" s="77"/>
      <c r="Q29" s="77"/>
    </row>
  </sheetData>
  <mergeCells count="3">
    <mergeCell ref="A1:H1"/>
    <mergeCell ref="J1:Q1"/>
    <mergeCell ref="K25:Q29"/>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793b891-4dad-41f0-ae56-9d327cb0c867" xsi:nil="true"/>
    <lcf76f155ced4ddcb4097134ff3c332f xmlns="d326f6a4-d697-43a1-a212-2ea63025c88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D7E51A3A3A67A41BEA0AE5D00512A58" ma:contentTypeVersion="15" ma:contentTypeDescription="Create a new document." ma:contentTypeScope="" ma:versionID="a354c5731aaac15aec0c8fd7dd074d86">
  <xsd:schema xmlns:xsd="http://www.w3.org/2001/XMLSchema" xmlns:xs="http://www.w3.org/2001/XMLSchema" xmlns:p="http://schemas.microsoft.com/office/2006/metadata/properties" xmlns:ns2="d326f6a4-d697-43a1-a212-2ea63025c881" xmlns:ns3="9793b891-4dad-41f0-ae56-9d327cb0c867" targetNamespace="http://schemas.microsoft.com/office/2006/metadata/properties" ma:root="true" ma:fieldsID="b928c4f1a2964d823e5a31c3143715d5" ns2:_="" ns3:_="">
    <xsd:import namespace="d326f6a4-d697-43a1-a212-2ea63025c881"/>
    <xsd:import namespace="9793b891-4dad-41f0-ae56-9d327cb0c86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26f6a4-d697-43a1-a212-2ea63025c8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cb35ef7-dbe4-44bb-b163-65191f419110"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793b891-4dad-41f0-ae56-9d327cb0c867"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cc9b6e7-b40c-4d4a-af2e-94c891aacb1b}" ma:internalName="TaxCatchAll" ma:showField="CatchAllData" ma:web="9793b891-4dad-41f0-ae56-9d327cb0c86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E74672-11CF-4D8E-9E4B-D0D8A5EF0810}">
  <ds:schemaRefs>
    <ds:schemaRef ds:uri="http://www.w3.org/XML/1998/namespace"/>
    <ds:schemaRef ds:uri="http://schemas.microsoft.com/office/2006/documentManagement/types"/>
    <ds:schemaRef ds:uri="http://schemas.microsoft.com/office/2006/metadata/properties"/>
    <ds:schemaRef ds:uri="http://schemas.microsoft.com/office/infopath/2007/PartnerControls"/>
    <ds:schemaRef ds:uri="http://purl.org/dc/elements/1.1/"/>
    <ds:schemaRef ds:uri="9793b891-4dad-41f0-ae56-9d327cb0c867"/>
    <ds:schemaRef ds:uri="http://purl.org/dc/dcmitype/"/>
    <ds:schemaRef ds:uri="http://schemas.openxmlformats.org/package/2006/metadata/core-properties"/>
    <ds:schemaRef ds:uri="d326f6a4-d697-43a1-a212-2ea63025c881"/>
    <ds:schemaRef ds:uri="http://purl.org/dc/terms/"/>
  </ds:schemaRefs>
</ds:datastoreItem>
</file>

<file path=customXml/itemProps2.xml><?xml version="1.0" encoding="utf-8"?>
<ds:datastoreItem xmlns:ds="http://schemas.openxmlformats.org/officeDocument/2006/customXml" ds:itemID="{FE8BA416-0914-4F97-9EFE-B6ECAD6FE9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26f6a4-d697-43a1-a212-2ea63025c881"/>
    <ds:schemaRef ds:uri="9793b891-4dad-41f0-ae56-9d327cb0c8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3EA8B77-EFAD-4DD8-951A-BC5B3BFD971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1-Data Input</vt:lpstr>
      <vt:lpstr>2-Consumption profiles</vt:lpstr>
      <vt:lpstr>3-Production profile</vt:lpstr>
      <vt:lpstr>4-Battery needs</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Félix</dc:creator>
  <cp:lastModifiedBy>Aimilios  Orfanos</cp:lastModifiedBy>
  <dcterms:created xsi:type="dcterms:W3CDTF">2021-01-18T08:53:31Z</dcterms:created>
  <dcterms:modified xsi:type="dcterms:W3CDTF">2026-02-11T23:01:40Z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0x0101002D7E51A3A3A67A41BEA0AE5D00512A58</vt:lpwstr>
  </property>
  <property fmtid="{D5CDD505-2E9C-101B-9397-08002B2CF9AE}" pid="3" name="MediaServiceImageTags">
    <vt:lpwstr/>
  </property>
</Properties>
</file>